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9c00ff70d0b018/Documents/"/>
    </mc:Choice>
  </mc:AlternateContent>
  <xr:revisionPtr revIDLastSave="446" documentId="8_{A90EEC3A-A5E6-4085-85E1-6C82DF8D8243}" xr6:coauthVersionLast="47" xr6:coauthVersionMax="47" xr10:uidLastSave="{DAE46B71-F7DC-438F-B3AC-B72801F01E19}"/>
  <bookViews>
    <workbookView xWindow="-108" yWindow="-108" windowWidth="23256" windowHeight="12456" xr2:uid="{00000000-000D-0000-FFFF-FFFF00000000}"/>
  </bookViews>
  <sheets>
    <sheet name="Sales_Data" sheetId="1" r:id="rId1"/>
    <sheet name="Incentive_Master" sheetId="2" r:id="rId2"/>
    <sheet name="Department-wise_Sales" sheetId="3" r:id="rId3"/>
    <sheet name="Region_wise_Sales" sheetId="4" r:id="rId4"/>
    <sheet name="Gender_wise_Sales" sheetId="5" r:id="rId5"/>
    <sheet name="Month_wise_Sales" sheetId="6" r:id="rId6"/>
    <sheet name="Sheet4" sheetId="7" r:id="rId7"/>
  </sheets>
  <definedNames>
    <definedName name="_xlchart.v1.0" hidden="1">Month_wise_Sales!$A$2:$A$7</definedName>
    <definedName name="_xlchart.v1.1" hidden="1">Month_wise_Sales!$B$2:$B$7</definedName>
    <definedName name="_xlchart.v1.10" hidden="1">Month_wise_Sales!$A$2:$A$7</definedName>
    <definedName name="_xlchart.v1.11" hidden="1">Month_wise_Sales!$B$2:$B$7</definedName>
    <definedName name="_xlchart.v1.2" hidden="1">'Department-wise_Sales'!$J$2:$J$7</definedName>
    <definedName name="_xlchart.v1.3" hidden="1">'Department-wise_Sales'!$K$2:$K$7</definedName>
    <definedName name="_xlchart.v1.4" hidden="1">Month_wise_Sales!$A$2:$A$7</definedName>
    <definedName name="_xlchart.v1.5" hidden="1">Month_wise_Sales!$B$2:$B$7</definedName>
    <definedName name="_xlchart.v1.6" hidden="1">Month_wise_Sales!$A$2:$A$7</definedName>
    <definedName name="_xlchart.v1.7" hidden="1">Month_wise_Sales!$B$2:$B$7</definedName>
    <definedName name="_xlchart.v1.8" hidden="1">Month_wise_Sales!$A$2:$A$7</definedName>
    <definedName name="_xlchart.v1.9" hidden="1">Month_wise_Sales!$B$2:$B$7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6" l="1"/>
  <c r="B6" i="6"/>
  <c r="B5" i="6"/>
  <c r="B4" i="6"/>
  <c r="B3" i="6"/>
  <c r="B2" i="6"/>
  <c r="B3" i="5"/>
  <c r="B2" i="5"/>
  <c r="B5" i="4"/>
  <c r="B4" i="4"/>
  <c r="B3" i="4"/>
  <c r="B2" i="4"/>
  <c r="B2" i="3"/>
  <c r="B3" i="3"/>
  <c r="B4" i="3"/>
  <c r="B5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2" i="2"/>
</calcChain>
</file>

<file path=xl/sharedStrings.xml><?xml version="1.0" encoding="utf-8"?>
<sst xmlns="http://schemas.openxmlformats.org/spreadsheetml/2006/main" count="938" uniqueCount="334">
  <si>
    <t>Emp_ID</t>
  </si>
  <si>
    <t>Emp_Name</t>
  </si>
  <si>
    <t>Department</t>
  </si>
  <si>
    <t>Region</t>
  </si>
  <si>
    <t>Month</t>
  </si>
  <si>
    <t>Sales_Amount</t>
  </si>
  <si>
    <t>E1001</t>
  </si>
  <si>
    <t>Sales</t>
  </si>
  <si>
    <t>North</t>
  </si>
  <si>
    <t>Jan</t>
  </si>
  <si>
    <t>E1002</t>
  </si>
  <si>
    <t>Marketing</t>
  </si>
  <si>
    <t>South</t>
  </si>
  <si>
    <t>Feb</t>
  </si>
  <si>
    <t>E1003</t>
  </si>
  <si>
    <t>Finance</t>
  </si>
  <si>
    <t>East</t>
  </si>
  <si>
    <t>Mar</t>
  </si>
  <si>
    <t>E1004</t>
  </si>
  <si>
    <t>HR</t>
  </si>
  <si>
    <t>West</t>
  </si>
  <si>
    <t>Apr</t>
  </si>
  <si>
    <t>E1005</t>
  </si>
  <si>
    <t>May</t>
  </si>
  <si>
    <t>E1006</t>
  </si>
  <si>
    <t>Jun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</si>
  <si>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</si>
  <si>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</si>
  <si>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</si>
  <si>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</si>
  <si>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</si>
  <si>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</si>
  <si>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</si>
  <si>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</si>
  <si>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</si>
  <si>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</si>
  <si>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</si>
  <si>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</si>
  <si>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</si>
  <si>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</si>
  <si>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</si>
  <si>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</si>
  <si>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</si>
  <si>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</si>
  <si>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</si>
  <si>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</si>
  <si>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</si>
  <si>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</si>
  <si>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</si>
  <si>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</si>
  <si>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</si>
  <si>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</si>
  <si>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</si>
  <si>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</si>
  <si>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</si>
  <si>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</si>
  <si>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</si>
  <si>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</si>
  <si>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</si>
  <si>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</si>
  <si>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</si>
  <si>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</si>
  <si>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</si>
  <si>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</si>
  <si>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</si>
  <si>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</si>
  <si>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</si>
  <si>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</si>
  <si>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</si>
  <si>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</si>
  <si>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</si>
  <si>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</si>
  <si>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</si>
  <si>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</si>
  <si>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</si>
  <si>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</si>
  <si>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</si>
  <si>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</si>
  <si>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</si>
  <si>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</si>
  <si>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</si>
  <si>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</si>
  <si>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</si>
  <si>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</si>
  <si>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</si>
  <si>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</si>
  <si>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</si>
  <si>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</si>
  <si>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</si>
  <si>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</si>
  <si>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</si>
  <si>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</si>
  <si>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</si>
  <si>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</si>
  <si>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</si>
  <si>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</si>
  <si>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</si>
  <si>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</si>
  <si>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</si>
  <si>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</si>
  <si>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</si>
  <si>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</si>
  <si>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</si>
  <si>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</si>
  <si>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</si>
  <si>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</si>
  <si>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</si>
  <si>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</si>
  <si>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</si>
  <si>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</si>
  <si>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</si>
  <si>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</si>
  <si>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</si>
  <si>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</si>
  <si>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</si>
  <si>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</si>
  <si>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</si>
  <si>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</si>
  <si>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</si>
  <si>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</si>
  <si>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</si>
  <si>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</si>
  <si>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</si>
  <si>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</si>
  <si>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</si>
  <si>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</si>
  <si>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</si>
  <si>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</si>
  <si>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</si>
  <si>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</si>
  <si>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</si>
  <si>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</si>
  <si>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</si>
  <si>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</si>
  <si>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</si>
  <si>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</si>
  <si>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</si>
  <si>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</si>
  <si>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</si>
  <si>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</si>
  <si>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</si>
  <si>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</si>
  <si>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</si>
  <si>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</si>
  <si>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</si>
  <si>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</si>
  <si>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</si>
  <si>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</si>
  <si>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</si>
  <si>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</si>
  <si>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</si>
  <si>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</si>
  <si>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</si>
  <si>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</si>
  <si>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</si>
  <si>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</si>
  <si>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</si>
  <si>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</si>
  <si>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</si>
  <si>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</si>
  <si>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</si>
  <si>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</si>
  <si>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</si>
  <si>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</si>
  <si>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</si>
  <si>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</si>
  <si>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</si>
  <si>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</si>
  <si>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</si>
  <si>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</si>
  <si>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Anil Kumar</t>
  </si>
  <si>
    <t>Suresh Rao</t>
  </si>
  <si>
    <t>Priya Sharma</t>
  </si>
  <si>
    <t>Ramesh Naidu</t>
  </si>
  <si>
    <t>Divya Patel</t>
  </si>
  <si>
    <t>Vijay Kumar</t>
  </si>
  <si>
    <t>Sneha Iyer</t>
  </si>
  <si>
    <t>Arun Prakash</t>
  </si>
  <si>
    <t>Meena Nair</t>
  </si>
  <si>
    <t>Rahul Verma</t>
  </si>
  <si>
    <t>Pooja Singh</t>
  </si>
  <si>
    <t>Mahesh Gowda</t>
  </si>
  <si>
    <t>Ananya Das</t>
  </si>
  <si>
    <t>Sanjay Mehta</t>
  </si>
  <si>
    <t>Lakshmi Menon</t>
  </si>
  <si>
    <t>Kiran Shetty</t>
  </si>
  <si>
    <t>Neha Gupta</t>
  </si>
  <si>
    <t>Prakash Jain</t>
  </si>
  <si>
    <t>Swathi Rao</t>
  </si>
  <si>
    <t>Ajay Malhotra</t>
  </si>
  <si>
    <t>Nithya Krishnan</t>
  </si>
  <si>
    <t>Rohit Agarwal</t>
  </si>
  <si>
    <t>Aishwarya Kulkarni</t>
  </si>
  <si>
    <t>Naveen Chandra</t>
  </si>
  <si>
    <t>Shilpa Hegde</t>
  </si>
  <si>
    <t>Manoj Kulkarni</t>
  </si>
  <si>
    <t>Deepa Srinivas</t>
  </si>
  <si>
    <t>Sunil Bansal</t>
  </si>
  <si>
    <t>Ritu Saxena</t>
  </si>
  <si>
    <t>Harish Patel</t>
  </si>
  <si>
    <t>Bhavya Joshi</t>
  </si>
  <si>
    <t>Gopal Iyer</t>
  </si>
  <si>
    <t>Keerthi Ramesh</t>
  </si>
  <si>
    <t>Amit Khanna</t>
  </si>
  <si>
    <t>Pallavi Deshpande</t>
  </si>
  <si>
    <t>Srinath Murthy</t>
  </si>
  <si>
    <t>Sandhya Rao</t>
  </si>
  <si>
    <t>Vikas Mishra</t>
  </si>
  <si>
    <t>Aparna Shetty</t>
  </si>
  <si>
    <t>Ashok Reddy</t>
  </si>
  <si>
    <t>Sowmya N</t>
  </si>
  <si>
    <t>Rajesh Arora</t>
  </si>
  <si>
    <t>Preethi Kumar</t>
  </si>
  <si>
    <t>Balaji S</t>
  </si>
  <si>
    <t>Madhuri Kulkarni</t>
  </si>
  <si>
    <t>Nikhil Jain</t>
  </si>
  <si>
    <t>Sushma Rao</t>
  </si>
  <si>
    <t>Sathish Kumar</t>
  </si>
  <si>
    <t>Anusha P</t>
  </si>
  <si>
    <t>Ravindra Patil</t>
  </si>
  <si>
    <t>Shweta Malhotra</t>
  </si>
  <si>
    <t>Dinesh Gupta</t>
  </si>
  <si>
    <t>Ramya S</t>
  </si>
  <si>
    <t>Pradeep Nair</t>
  </si>
  <si>
    <t>Ishita Banerjee</t>
  </si>
  <si>
    <t>Chandrashekar H</t>
  </si>
  <si>
    <t>Nandini Kulkarni</t>
  </si>
  <si>
    <t>Sandeep Verma</t>
  </si>
  <si>
    <t>Kavitha R</t>
  </si>
  <si>
    <t>Yogesh Pawar</t>
  </si>
  <si>
    <t>Tanvi Joshi</t>
  </si>
  <si>
    <t>Raghavendra Rao</t>
  </si>
  <si>
    <t>Harini S</t>
  </si>
  <si>
    <t>Pankaj Tiwari</t>
  </si>
  <si>
    <t>Monika Arora</t>
  </si>
  <si>
    <t>Karthik R</t>
  </si>
  <si>
    <t>Vaishnavi Kulkarni</t>
  </si>
  <si>
    <t>Naresh Singh</t>
  </si>
  <si>
    <t>Radhika Menon</t>
  </si>
  <si>
    <t>Lokesh M</t>
  </si>
  <si>
    <t>Srilatha P</t>
  </si>
  <si>
    <t>Abhishek Yadav</t>
  </si>
  <si>
    <t>Pavithra Gowda</t>
  </si>
  <si>
    <t>Vinod Kumar</t>
  </si>
  <si>
    <t>Snehal Patil</t>
  </si>
  <si>
    <t>Surya Prakash</t>
  </si>
  <si>
    <t>Chitra Iyer</t>
  </si>
  <si>
    <t>Hemant Shah</t>
  </si>
  <si>
    <t>Rupa Das</t>
  </si>
  <si>
    <t>Mohan Lal</t>
  </si>
  <si>
    <t>Sangeetha V</t>
  </si>
  <si>
    <t>Tarun Kapoor</t>
  </si>
  <si>
    <t>Ankita Jain</t>
  </si>
  <si>
    <t>Ravi Shankar</t>
  </si>
  <si>
    <t>Smitha R</t>
  </si>
  <si>
    <t>Uday Kulkarni</t>
  </si>
  <si>
    <t>Nisha Mehta</t>
  </si>
  <si>
    <t>Shivakumar M</t>
  </si>
  <si>
    <t>Gayathri S</t>
  </si>
  <si>
    <t>Kunal Bhat</t>
  </si>
  <si>
    <t>Meghana Rao</t>
  </si>
  <si>
    <t>Siddharth Malviya</t>
  </si>
  <si>
    <t>Poonam Joshi</t>
  </si>
  <si>
    <t>Jagadish K</t>
  </si>
  <si>
    <t>Aarti Kulkarni</t>
  </si>
  <si>
    <t>Alok Srivastava</t>
  </si>
  <si>
    <t>Bhavana Shetty</t>
  </si>
  <si>
    <t>Santosh Desai</t>
  </si>
  <si>
    <t>Kiranmayi P</t>
  </si>
  <si>
    <t>Vivek Anand</t>
  </si>
  <si>
    <t>Rituparna Bose</t>
  </si>
  <si>
    <t>Shankar Narayan</t>
  </si>
  <si>
    <t>Padmaja R</t>
  </si>
  <si>
    <t>Naveen Joshi</t>
  </si>
  <si>
    <t>Sonal Shah</t>
  </si>
  <si>
    <t>Arvind Menon</t>
  </si>
  <si>
    <t>Malini Krishnan</t>
  </si>
  <si>
    <t>Deepak Soni</t>
  </si>
  <si>
    <t>Shruthi B</t>
  </si>
  <si>
    <t>Rajat Saxena</t>
  </si>
  <si>
    <t>Namrata Kulkarni</t>
  </si>
  <si>
    <t>Rakesh Chauhan</t>
  </si>
  <si>
    <t>Kalyani Deshpande</t>
  </si>
  <si>
    <t>Manish Pandey</t>
  </si>
  <si>
    <t>Suma Rao</t>
  </si>
  <si>
    <t>Pranav Kulkarni</t>
  </si>
  <si>
    <t>Lavanya Iyer</t>
  </si>
  <si>
    <t>Anand Mohan</t>
  </si>
  <si>
    <t>Isha Kapoor</t>
  </si>
  <si>
    <t>Rohith Shetty</t>
  </si>
  <si>
    <t>Tejaswini Gowda</t>
  </si>
  <si>
    <t>Suresh Babu</t>
  </si>
  <si>
    <t>Komal Agarwal</t>
  </si>
  <si>
    <t>Krishna Murthy</t>
  </si>
  <si>
    <t>Pooja Kulkarni</t>
  </si>
  <si>
    <t xml:space="preserve">Kavya </t>
  </si>
  <si>
    <t>Gender</t>
  </si>
  <si>
    <t>Nitin Sharma</t>
  </si>
  <si>
    <t>Shalini Verma</t>
  </si>
  <si>
    <t>Amar Singh</t>
  </si>
  <si>
    <t>Renu Malhotra</t>
  </si>
  <si>
    <t>Mohit Jain</t>
  </si>
  <si>
    <t>Asha Nair</t>
  </si>
  <si>
    <t>Deepak Kumar</t>
  </si>
  <si>
    <t>Anu Thomas</t>
  </si>
  <si>
    <t>Varun Mehta</t>
  </si>
  <si>
    <t>Prema R</t>
  </si>
  <si>
    <t>Keshav Rao</t>
  </si>
  <si>
    <t>Jyothi S</t>
  </si>
  <si>
    <t>Akash Gupta</t>
  </si>
  <si>
    <t>Latha Menon</t>
  </si>
  <si>
    <t>Santhosh K</t>
  </si>
  <si>
    <t>Revathi Iyer</t>
  </si>
  <si>
    <t>Naveen R</t>
  </si>
  <si>
    <t>Bharti Patel</t>
  </si>
  <si>
    <t>Siva Prasad</t>
  </si>
  <si>
    <t>Manasa Reddy</t>
  </si>
  <si>
    <t>Rohan Kulkarni</t>
  </si>
  <si>
    <t>Neelam Shah</t>
  </si>
  <si>
    <t>Prakash Rao</t>
  </si>
  <si>
    <t>Amitha N</t>
  </si>
  <si>
    <t>Male</t>
  </si>
  <si>
    <t>Female</t>
  </si>
  <si>
    <t>Sales_From</t>
  </si>
  <si>
    <t>Sales_To</t>
  </si>
  <si>
    <t>Incentive_%</t>
  </si>
  <si>
    <t>Incentive_Amount</t>
  </si>
  <si>
    <t>Employee Master Lookup</t>
  </si>
  <si>
    <t>Incentive Master Lookup</t>
  </si>
  <si>
    <t>Total Sales</t>
  </si>
  <si>
    <t>Total_Sales</t>
  </si>
  <si>
    <t>March</t>
  </si>
  <si>
    <t>April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</si>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</sst>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4"/>
      <color theme="1" tint="4.9989318521683403E-2"/>
      <name val="Agency FB"/>
      <family val="2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gency FB"/>
      <family val="2"/>
    </font>
    <font>
      <b/>
      <sz val="14"/>
      <color theme="0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9" fontId="0" fillId="0" borderId="0" xfId="0" applyNumberFormat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0" fontId="0" fillId="0" borderId="0" xfId="0" applyNumberFormat="1"/>
    <xf numFmtId="0" fontId="3" fillId="3" borderId="0" xfId="0" applyFont="1" applyFill="1"/>
    <xf numFmtId="0" fontId="4" fillId="3" borderId="0" xfId="0" applyFont="1" applyFill="1"/>
    <xf numFmtId="0" fontId="5" fillId="4" borderId="0" xfId="0" applyFont="1" applyFill="1" applyAlignment="1">
      <alignment horizontal="center"/>
    </xf>
    <xf numFmtId="0" fontId="2" fillId="4" borderId="0" xfId="0" applyFont="1" applyFill="1"/>
    <xf numFmtId="0" fontId="5" fillId="4" borderId="0" xfId="0" applyFont="1" applyFill="1"/>
    <xf numFmtId="165" fontId="0" fillId="0" borderId="0" xfId="0" applyNumberFormat="1"/>
    <xf numFmtId="165" fontId="5" fillId="4" borderId="0" xfId="0" applyNumberFormat="1" applyFont="1" applyFill="1"/>
    <xf numFmtId="165" fontId="5" fillId="4" borderId="0" xfId="0" applyNumberFormat="1" applyFont="1" applyFill="1" applyAlignment="1">
      <alignment horizontal="center"/>
    </xf>
  </cellXfs>
  <cellStyles count="1">
    <cellStyle name="Normal" xfId="0" builtinId="0"/>
  </cellStyles>
  <dxfs count="8">
    <dxf>
      <numFmt numFmtId="165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theme="2" tint="-0.749992370372631"/>
        </patternFill>
      </fill>
    </dxf>
    <dxf>
      <numFmt numFmtId="165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theme="2" tint="-0.749992370372631"/>
        </patternFill>
      </fill>
    </dxf>
    <dxf>
      <numFmt numFmtId="165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theme="2" tint="-0.749992370372631"/>
        </patternFill>
      </fill>
      <alignment horizontal="center" vertical="bottom" textRotation="0" wrapText="0" indent="0" justifyLastLine="0" shrinkToFit="0" readingOrder="0"/>
    </dxf>
    <dxf>
      <numFmt numFmtId="165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theme="2" tint="-0.74999237037263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cap="none" spc="2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85000"/>
                    <a:lumOff val="15000"/>
                  </a:schemeClr>
                </a:solidFill>
              </a:rPr>
              <a:t>Department-wise Total Sales</a:t>
            </a:r>
          </a:p>
        </c:rich>
      </c:tx>
      <c:layout>
        <c:manualLayout>
          <c:xMode val="edge"/>
          <c:yMode val="edge"/>
          <c:x val="0.3377662871031219"/>
          <c:y val="3.2840719750795486E-2"/>
        </c:manualLayout>
      </c:layout>
      <c:overlay val="0"/>
      <c:spPr>
        <a:solidFill>
          <a:schemeClr val="bg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cap="none" spc="2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05116539431483"/>
          <c:y val="0.12045180673170569"/>
          <c:w val="0.82044031084797753"/>
          <c:h val="0.72026430613370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'Department-wise_Sales'!$B$1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'Department-wise_Sales'!$A$2:$A$5</c:f>
              <c:strCache>
                <c:ptCount val="4"/>
                <c:pt idx="0">
                  <c:v>HR</c:v>
                </c:pt>
                <c:pt idx="1">
                  <c:v>Finance</c:v>
                </c:pt>
                <c:pt idx="2">
                  <c:v>Sales</c:v>
                </c:pt>
                <c:pt idx="3">
                  <c:v>Marketing</c:v>
                </c:pt>
              </c:strCache>
            </c:strRef>
          </c:cat>
          <c:val>
            <c:numRef>
              <c:f>'Department-wise_Sales'!$B$2:$B$5</c:f>
              <c:numCache>
                <c:formatCode>"₹"\ #,##0.00</c:formatCode>
                <c:ptCount val="4"/>
                <c:pt idx="0">
                  <c:v>2215000</c:v>
                </c:pt>
                <c:pt idx="1">
                  <c:v>2190000</c:v>
                </c:pt>
                <c:pt idx="2">
                  <c:v>2195000</c:v>
                </c:pt>
                <c:pt idx="3">
                  <c:v>2295000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6-4982-98CF-6AED55EBB9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67553136"/>
        <c:axId val="1267553616"/>
      </c:barChart>
      <c:catAx>
        <c:axId val="1267553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800" b="0" i="0" u="none" strike="noStrike" kern="1200" cap="all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800">
                    <a:solidFill>
                      <a:schemeClr val="accent2">
                        <a:lumMod val="75000"/>
                      </a:schemeClr>
                    </a:solidFill>
                  </a:rPr>
                  <a:t>department</a:t>
                </a:r>
              </a:p>
            </c:rich>
          </c:tx>
          <c:layout>
            <c:manualLayout>
              <c:xMode val="edge"/>
              <c:yMode val="edge"/>
              <c:x val="0.42476759229905836"/>
              <c:y val="0.90951072153716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800" b="0" i="0" u="none" strike="noStrike" kern="1200" cap="all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53616"/>
        <c:crosses val="autoZero"/>
        <c:auto val="1"/>
        <c:lblAlgn val="ctr"/>
        <c:lblOffset val="100"/>
        <c:noMultiLvlLbl val="0"/>
      </c:catAx>
      <c:valAx>
        <c:axId val="126755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cap="all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800">
                    <a:solidFill>
                      <a:schemeClr val="accent2">
                        <a:lumMod val="75000"/>
                      </a:schemeClr>
                    </a:solidFill>
                  </a:rPr>
                  <a:t>Total</a:t>
                </a:r>
                <a:r>
                  <a:rPr lang="en-IN" sz="800" baseline="0">
                    <a:solidFill>
                      <a:schemeClr val="accent2">
                        <a:lumMod val="75000"/>
                      </a:schemeClr>
                    </a:solidFill>
                  </a:rPr>
                  <a:t> Sales</a:t>
                </a:r>
                <a:endParaRPr lang="en-IN" sz="800">
                  <a:solidFill>
                    <a:schemeClr val="accent2">
                      <a:lumMod val="7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914839535156038E-2"/>
              <c:y val="0.37461551582781716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cap="all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5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Region-wise Total Sales</a:t>
            </a:r>
          </a:p>
        </c:rich>
      </c:tx>
      <c:overlay val="0"/>
      <c:spPr>
        <a:solidFill>
          <a:schemeClr val="accent5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Region_wise_Sales!$B$1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Region_wise_Sales!$A$2:$A$5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Region_wise_Sales!$B$2:$B$5</c:f>
              <c:numCache>
                <c:formatCode>"₹"\ #,##0.00</c:formatCode>
                <c:ptCount val="4"/>
                <c:pt idx="0">
                  <c:v>2265000</c:v>
                </c:pt>
                <c:pt idx="1">
                  <c:v>2260000</c:v>
                </c:pt>
                <c:pt idx="2">
                  <c:v>2190000</c:v>
                </c:pt>
                <c:pt idx="3">
                  <c:v>2180000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2-413D-9B1E-23BF9044BA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55663040"/>
        <c:axId val="1255677440"/>
      </c:barChart>
      <c:catAx>
        <c:axId val="1255663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2"/>
                    </a:solidFill>
                  </a:rPr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77440"/>
        <c:crosses val="autoZero"/>
        <c:auto val="1"/>
        <c:lblAlgn val="ctr"/>
        <c:lblOffset val="100"/>
        <c:noMultiLvlLbl val="0"/>
      </c:catAx>
      <c:valAx>
        <c:axId val="125567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2"/>
                    </a:solidFill>
                  </a:rPr>
                  <a:t>TOTAL</a:t>
                </a:r>
                <a:r>
                  <a:rPr lang="en-IN" baseline="0">
                    <a:solidFill>
                      <a:schemeClr val="tx2"/>
                    </a:solidFill>
                  </a:rPr>
                  <a:t> SALES</a:t>
                </a:r>
                <a:endParaRPr lang="en-IN">
                  <a:solidFill>
                    <a:schemeClr val="tx2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6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accent2">
                    <a:lumMod val="7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accent2">
                    <a:lumMod val="75000"/>
                  </a:schemeClr>
                </a:solidFill>
              </a:rPr>
              <a:t>Gender_wise Total Sales</a:t>
            </a:r>
          </a:p>
        </c:rich>
      </c:tx>
      <c:layout>
        <c:manualLayout>
          <c:xMode val="edge"/>
          <c:yMode val="edge"/>
          <c:x val="0.23354855643044614"/>
          <c:y val="5.0925925925925923E-2"/>
        </c:manualLayout>
      </c:layout>
      <c:overlay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accent2">
                  <a:lumMod val="7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Gender_wise_Sales!$B$1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7A3-4D66-B098-FEF63D8DB33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7A3-4D66-B098-FEF63D8DB3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Gender_wise_Sales!$A$2:$A$3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Gender_wise_Sales!$B$2:$B$3</c:f>
              <c:numCache>
                <c:formatCode>"₹"\ #,##0.00</c:formatCode>
                <c:ptCount val="2"/>
                <c:pt idx="0">
                  <c:v>4455000</c:v>
                </c:pt>
                <c:pt idx="1">
                  <c:v>4440000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A3-4D66-B098-FEF63D8DB33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title pos="t" align="ctr" overlay="0">
      <cx:tx>
        <cx:txData>
          <cx:v>Month_wise sales</cx:v>
        </cx:txData>
      </cx:tx>
      <cx:spPr>
        <a:solidFill>
          <a:schemeClr val="accent4">
            <a:lumMod val="20000"/>
            <a:lumOff val="80000"/>
          </a:scheme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 b="1">
              <a:solidFill>
                <a:schemeClr val="tx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GB" sz="1400" b="1" i="0" u="none" strike="noStrike" cap="all" spc="150" baseline="0">
              <a:solidFill>
                <a:schemeClr val="tx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Month_wise sales</a:t>
          </a:r>
        </a:p>
      </cx:txPr>
    </cx:title>
    <cx:plotArea>
      <cx:plotAreaRegion>
        <cx:series layoutId="waterfall" uniqueId="{C7348954-204F-402A-9609-97F8A06CDA28}"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2">
                    <a:lumMod val="50000"/>
                  </a:schemeClr>
                </a:solidFill>
              </a:defRPr>
            </a:pPr>
            <a:endParaRPr lang="en-GB" sz="9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2">
                    <a:lumMod val="10000"/>
                  </a:schemeClr>
                </a:solidFill>
              </a:defRPr>
            </a:pPr>
            <a:endParaRPr lang="en-GB" sz="900" b="0" i="0" u="none" strike="noStrike" baseline="0">
              <a:solidFill>
                <a:schemeClr val="bg2">
                  <a:lumMod val="10000"/>
                </a:schemeClr>
              </a:solidFill>
              <a:latin typeface="Calibri"/>
            </a:endParaRPr>
          </a:p>
        </cx:txPr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4</xdr:row>
      <xdr:rowOff>137160</xdr:rowOff>
    </xdr:from>
    <xdr:to>
      <xdr:col>6</xdr:col>
      <xdr:colOff>1295400</xdr:colOff>
      <xdr:row>24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DD23A1D-CCCF-FE9F-1BE0-91DC57AA2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190500</xdr:rowOff>
    </xdr:from>
    <xdr:to>
      <xdr:col>14</xdr:col>
      <xdr:colOff>38100</xdr:colOff>
      <xdr:row>23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59EEA6-D966-422B-925F-2698A2E3A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2</xdr:row>
      <xdr:rowOff>22860</xdr:rowOff>
    </xdr:from>
    <xdr:to>
      <xdr:col>13</xdr:col>
      <xdr:colOff>601980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A524F-608D-4547-933D-4F9B4F251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152400</xdr:rowOff>
    </xdr:from>
    <xdr:to>
      <xdr:col>15</xdr:col>
      <xdr:colOff>15240</xdr:colOff>
      <xdr:row>24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58AC266-8930-4D49-94C0-CA8578A59D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2640" y="373380"/>
              <a:ext cx="7322820" cy="4069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4B96F3-47F7-481E-B691-F5CA3C50386D}" name="Table1" displayName="Table1" ref="A1:B5" totalsRowShown="0" headerRowDxfId="7">
  <autoFilter ref="A1:B5" xr:uid="{A74B96F3-47F7-481E-B691-F5CA3C50386D}"/>
  <tableColumns count="2">
    <tableColumn id="1" xr3:uid="{8B99EC03-35DE-4471-A101-C4A0F7A9493F}" name="Department"/>
    <tableColumn id="2" xr3:uid="{CF12DADA-7A1A-417E-B20C-968CA53A0306}" name="Total Sales" dataDxfId="6">
      <calculatedColumnFormula>SUMIF(Sales_Data!D:D, A2, Sales_Data!G:G)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2188B3-0F4A-4B98-9D9C-A26E351BD336}" name="Table2" displayName="Table2" ref="A1:B5" totalsRowShown="0" headerRowDxfId="5">
  <autoFilter ref="A1:B5" xr:uid="{2B2188B3-0F4A-4B98-9D9C-A26E351BD336}"/>
  <tableColumns count="2">
    <tableColumn id="1" xr3:uid="{04BA8539-D982-493E-8649-954B588C8066}" name="Region"/>
    <tableColumn id="2" xr3:uid="{AF0F229F-A276-4025-9F5E-76CC7C30CC8F}" name="Total Sales" dataDxfId="4">
      <calculatedColumnFormula>SUMIF(Sales_Data!E:E, A2, Sales_Data!G:G)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EB7C0A-5E28-4606-8F84-2959892C7E79}" name="Table4" displayName="Table4" ref="A1:B3" totalsRowShown="0" headerRowDxfId="3">
  <autoFilter ref="A1:B3" xr:uid="{58EB7C0A-5E28-4606-8F84-2959892C7E79}"/>
  <tableColumns count="2">
    <tableColumn id="1" xr3:uid="{1D6E120E-3C28-4870-908F-AF6B5C82823E}" name="Gender"/>
    <tableColumn id="2" xr3:uid="{296A9066-AC2F-4D3E-9C70-81A698789EE1}" name="Total Sales" dataDxfId="2">
      <calculatedColumnFormula>SUMIF(Sales_Data!C:C, A2, Sales_Data!G:G)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ADE23B-FD40-4AC3-8463-1B29820E6DCC}" name="Table5" displayName="Table5" ref="A1:B7" totalsRowShown="0" headerRowDxfId="1">
  <autoFilter ref="A1:B7" xr:uid="{F6ADE23B-FD40-4AC3-8463-1B29820E6DCC}"/>
  <tableColumns count="2">
    <tableColumn id="1" xr3:uid="{52385D9B-B7A3-4626-91BE-8A7E29A694D7}" name="Month"/>
    <tableColumn id="2" xr3:uid="{1661DA1C-0724-438F-8ECF-6B769C51B2D7}" name="Total_Sales" dataDxfId="0">
      <calculatedColumnFormula>SUMIF(Sales_Data!F:F, A2, Sales_Data!G:G)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zoomScale="91" zoomScaleNormal="91" workbookViewId="0">
      <selection activeCell="G1" sqref="G1"/>
    </sheetView>
  </sheetViews>
  <sheetFormatPr defaultColWidth="16" defaultRowHeight="14.4" x14ac:dyDescent="0.3"/>
  <sheetData>
    <row r="1" spans="1:10" s="1" customFormat="1" ht="17.399999999999999" x14ac:dyDescent="0.3">
      <c r="A1" s="1" t="s">
        <v>0</v>
      </c>
      <c r="B1" s="1" t="s">
        <v>1</v>
      </c>
      <c r="C1" s="1" t="s">
        <v>296</v>
      </c>
      <c r="D1" s="1" t="s">
        <v>2</v>
      </c>
      <c r="E1" s="1" t="s">
        <v>3</v>
      </c>
      <c r="F1" s="1" t="s">
        <v>4</v>
      </c>
      <c r="G1" s="1" t="s">
        <v>5</v>
      </c>
      <c r="J1" s="3"/>
    </row>
    <row r="2" spans="1:10" x14ac:dyDescent="0.3">
      <c r="A2" t="s">
        <v>6</v>
      </c>
      <c r="B2" t="s">
        <v>170</v>
      </c>
      <c r="C2" t="s">
        <v>321</v>
      </c>
      <c r="D2" t="s">
        <v>7</v>
      </c>
      <c r="E2" t="s">
        <v>8</v>
      </c>
      <c r="F2" t="s">
        <v>9</v>
      </c>
      <c r="G2">
        <v>30000</v>
      </c>
      <c r="J2" s="2"/>
    </row>
    <row r="3" spans="1:10" x14ac:dyDescent="0.3">
      <c r="A3" t="s">
        <v>10</v>
      </c>
      <c r="B3" t="s">
        <v>295</v>
      </c>
      <c r="C3" t="s">
        <v>322</v>
      </c>
      <c r="D3" t="s">
        <v>19</v>
      </c>
      <c r="E3" t="s">
        <v>12</v>
      </c>
      <c r="F3" t="s">
        <v>13</v>
      </c>
      <c r="G3">
        <v>35000</v>
      </c>
      <c r="J3" s="2"/>
    </row>
    <row r="4" spans="1:10" x14ac:dyDescent="0.3">
      <c r="A4" t="s">
        <v>14</v>
      </c>
      <c r="B4" t="s">
        <v>171</v>
      </c>
      <c r="C4" t="s">
        <v>321</v>
      </c>
      <c r="D4" t="s">
        <v>15</v>
      </c>
      <c r="E4" t="s">
        <v>16</v>
      </c>
      <c r="F4" t="s">
        <v>17</v>
      </c>
      <c r="G4">
        <v>40000</v>
      </c>
      <c r="J4" s="2"/>
    </row>
    <row r="5" spans="1:10" x14ac:dyDescent="0.3">
      <c r="A5" t="s">
        <v>18</v>
      </c>
      <c r="B5" t="s">
        <v>172</v>
      </c>
      <c r="C5" t="s">
        <v>322</v>
      </c>
      <c r="D5" t="s">
        <v>19</v>
      </c>
      <c r="E5" t="s">
        <v>20</v>
      </c>
      <c r="F5" t="s">
        <v>21</v>
      </c>
      <c r="G5">
        <v>45000</v>
      </c>
      <c r="J5" s="2"/>
    </row>
    <row r="6" spans="1:10" x14ac:dyDescent="0.3">
      <c r="A6" t="s">
        <v>22</v>
      </c>
      <c r="B6" t="s">
        <v>173</v>
      </c>
      <c r="C6" t="s">
        <v>321</v>
      </c>
      <c r="D6" t="s">
        <v>7</v>
      </c>
      <c r="E6" t="s">
        <v>8</v>
      </c>
      <c r="F6" t="s">
        <v>23</v>
      </c>
      <c r="G6">
        <v>50000</v>
      </c>
      <c r="J6" s="2"/>
    </row>
    <row r="7" spans="1:10" x14ac:dyDescent="0.3">
      <c r="A7" t="s">
        <v>24</v>
      </c>
      <c r="B7" t="s">
        <v>174</v>
      </c>
      <c r="C7" t="s">
        <v>322</v>
      </c>
      <c r="D7" t="s">
        <v>11</v>
      </c>
      <c r="E7" t="s">
        <v>12</v>
      </c>
      <c r="F7" t="s">
        <v>25</v>
      </c>
      <c r="G7">
        <v>55000</v>
      </c>
      <c r="J7" s="2"/>
    </row>
    <row r="8" spans="1:10" x14ac:dyDescent="0.3">
      <c r="A8" t="s">
        <v>26</v>
      </c>
      <c r="B8" t="s">
        <v>175</v>
      </c>
      <c r="C8" t="s">
        <v>321</v>
      </c>
      <c r="D8" t="s">
        <v>15</v>
      </c>
      <c r="E8" t="s">
        <v>16</v>
      </c>
      <c r="F8" t="s">
        <v>9</v>
      </c>
      <c r="G8">
        <v>60000</v>
      </c>
      <c r="J8" s="2"/>
    </row>
    <row r="9" spans="1:10" x14ac:dyDescent="0.3">
      <c r="A9" t="s">
        <v>27</v>
      </c>
      <c r="B9" t="s">
        <v>176</v>
      </c>
      <c r="C9" t="s">
        <v>322</v>
      </c>
      <c r="D9" t="s">
        <v>19</v>
      </c>
      <c r="E9" t="s">
        <v>20</v>
      </c>
      <c r="F9" t="s">
        <v>13</v>
      </c>
      <c r="G9">
        <v>65000</v>
      </c>
      <c r="J9" s="2"/>
    </row>
    <row r="10" spans="1:10" x14ac:dyDescent="0.3">
      <c r="A10" t="s">
        <v>28</v>
      </c>
      <c r="B10" t="s">
        <v>177</v>
      </c>
      <c r="C10" t="s">
        <v>321</v>
      </c>
      <c r="D10" t="s">
        <v>11</v>
      </c>
      <c r="E10" t="s">
        <v>8</v>
      </c>
      <c r="F10" t="s">
        <v>17</v>
      </c>
      <c r="G10">
        <v>70000</v>
      </c>
      <c r="J10" s="2"/>
    </row>
    <row r="11" spans="1:10" x14ac:dyDescent="0.3">
      <c r="A11" t="s">
        <v>29</v>
      </c>
      <c r="B11" t="s">
        <v>178</v>
      </c>
      <c r="C11" t="s">
        <v>322</v>
      </c>
      <c r="D11" t="s">
        <v>11</v>
      </c>
      <c r="E11" t="s">
        <v>12</v>
      </c>
      <c r="F11" t="s">
        <v>21</v>
      </c>
      <c r="G11">
        <v>75000</v>
      </c>
      <c r="J11" s="2"/>
    </row>
    <row r="12" spans="1:10" x14ac:dyDescent="0.3">
      <c r="A12" t="s">
        <v>30</v>
      </c>
      <c r="B12" t="s">
        <v>179</v>
      </c>
      <c r="C12" t="s">
        <v>321</v>
      </c>
      <c r="D12" t="s">
        <v>15</v>
      </c>
      <c r="E12" t="s">
        <v>16</v>
      </c>
      <c r="F12" t="s">
        <v>23</v>
      </c>
      <c r="G12">
        <v>80000</v>
      </c>
      <c r="J12" s="2"/>
    </row>
    <row r="13" spans="1:10" x14ac:dyDescent="0.3">
      <c r="A13" t="s">
        <v>31</v>
      </c>
      <c r="B13" t="s">
        <v>180</v>
      </c>
      <c r="C13" t="s">
        <v>322</v>
      </c>
      <c r="D13" t="s">
        <v>19</v>
      </c>
      <c r="E13" t="s">
        <v>20</v>
      </c>
      <c r="F13" t="s">
        <v>25</v>
      </c>
      <c r="G13">
        <v>85000</v>
      </c>
      <c r="J13" s="2"/>
    </row>
    <row r="14" spans="1:10" x14ac:dyDescent="0.3">
      <c r="A14" t="s">
        <v>32</v>
      </c>
      <c r="B14" t="s">
        <v>181</v>
      </c>
      <c r="C14" t="s">
        <v>321</v>
      </c>
      <c r="D14" t="s">
        <v>7</v>
      </c>
      <c r="E14" t="s">
        <v>8</v>
      </c>
      <c r="F14" t="s">
        <v>9</v>
      </c>
      <c r="G14">
        <v>90000</v>
      </c>
      <c r="J14" s="2"/>
    </row>
    <row r="15" spans="1:10" x14ac:dyDescent="0.3">
      <c r="A15" t="s">
        <v>33</v>
      </c>
      <c r="B15" t="s">
        <v>182</v>
      </c>
      <c r="C15" t="s">
        <v>322</v>
      </c>
      <c r="D15" t="s">
        <v>11</v>
      </c>
      <c r="E15" t="s">
        <v>12</v>
      </c>
      <c r="F15" t="s">
        <v>13</v>
      </c>
      <c r="G15">
        <v>30000</v>
      </c>
      <c r="J15" s="2"/>
    </row>
    <row r="16" spans="1:10" x14ac:dyDescent="0.3">
      <c r="A16" t="s">
        <v>34</v>
      </c>
      <c r="B16" t="s">
        <v>183</v>
      </c>
      <c r="C16" t="s">
        <v>321</v>
      </c>
      <c r="D16" t="s">
        <v>15</v>
      </c>
      <c r="E16" t="s">
        <v>16</v>
      </c>
      <c r="F16" t="s">
        <v>17</v>
      </c>
      <c r="G16">
        <v>35000</v>
      </c>
      <c r="J16" s="2"/>
    </row>
    <row r="17" spans="1:10" x14ac:dyDescent="0.3">
      <c r="A17" t="s">
        <v>35</v>
      </c>
      <c r="B17" t="s">
        <v>184</v>
      </c>
      <c r="C17" t="s">
        <v>322</v>
      </c>
      <c r="D17" t="s">
        <v>19</v>
      </c>
      <c r="E17" t="s">
        <v>20</v>
      </c>
      <c r="F17" t="s">
        <v>21</v>
      </c>
      <c r="G17">
        <v>40000</v>
      </c>
      <c r="J17" s="2"/>
    </row>
    <row r="18" spans="1:10" x14ac:dyDescent="0.3">
      <c r="A18" t="s">
        <v>36</v>
      </c>
      <c r="B18" t="s">
        <v>185</v>
      </c>
      <c r="C18" t="s">
        <v>321</v>
      </c>
      <c r="D18" t="s">
        <v>7</v>
      </c>
      <c r="E18" t="s">
        <v>8</v>
      </c>
      <c r="F18" t="s">
        <v>23</v>
      </c>
      <c r="G18">
        <v>45000</v>
      </c>
      <c r="J18" s="2"/>
    </row>
    <row r="19" spans="1:10" x14ac:dyDescent="0.3">
      <c r="A19" t="s">
        <v>37</v>
      </c>
      <c r="B19" t="s">
        <v>186</v>
      </c>
      <c r="C19" t="s">
        <v>322</v>
      </c>
      <c r="D19" t="s">
        <v>11</v>
      </c>
      <c r="E19" t="s">
        <v>12</v>
      </c>
      <c r="F19" t="s">
        <v>25</v>
      </c>
      <c r="G19">
        <v>50000</v>
      </c>
      <c r="J19" s="2"/>
    </row>
    <row r="20" spans="1:10" x14ac:dyDescent="0.3">
      <c r="A20" t="s">
        <v>38</v>
      </c>
      <c r="B20" t="s">
        <v>187</v>
      </c>
      <c r="C20" t="s">
        <v>321</v>
      </c>
      <c r="D20" t="s">
        <v>15</v>
      </c>
      <c r="E20" t="s">
        <v>16</v>
      </c>
      <c r="F20" t="s">
        <v>9</v>
      </c>
      <c r="G20">
        <v>55000</v>
      </c>
      <c r="J20" s="2"/>
    </row>
    <row r="21" spans="1:10" x14ac:dyDescent="0.3">
      <c r="A21" t="s">
        <v>39</v>
      </c>
      <c r="B21" t="s">
        <v>188</v>
      </c>
      <c r="C21" t="s">
        <v>322</v>
      </c>
      <c r="D21" t="s">
        <v>19</v>
      </c>
      <c r="E21" t="s">
        <v>20</v>
      </c>
      <c r="F21" t="s">
        <v>13</v>
      </c>
      <c r="G21">
        <v>60000</v>
      </c>
      <c r="J21" s="2"/>
    </row>
    <row r="22" spans="1:10" x14ac:dyDescent="0.3">
      <c r="A22" t="s">
        <v>40</v>
      </c>
      <c r="B22" t="s">
        <v>189</v>
      </c>
      <c r="C22" t="s">
        <v>321</v>
      </c>
      <c r="D22" t="s">
        <v>7</v>
      </c>
      <c r="E22" t="s">
        <v>8</v>
      </c>
      <c r="F22" t="s">
        <v>17</v>
      </c>
      <c r="G22">
        <v>65000</v>
      </c>
      <c r="J22" s="2"/>
    </row>
    <row r="23" spans="1:10" x14ac:dyDescent="0.3">
      <c r="A23" t="s">
        <v>41</v>
      </c>
      <c r="B23" t="s">
        <v>190</v>
      </c>
      <c r="C23" t="s">
        <v>322</v>
      </c>
      <c r="D23" t="s">
        <v>11</v>
      </c>
      <c r="E23" t="s">
        <v>12</v>
      </c>
      <c r="F23" t="s">
        <v>21</v>
      </c>
      <c r="G23">
        <v>70000</v>
      </c>
      <c r="J23" s="2"/>
    </row>
    <row r="24" spans="1:10" x14ac:dyDescent="0.3">
      <c r="A24" t="s">
        <v>42</v>
      </c>
      <c r="B24" t="s">
        <v>191</v>
      </c>
      <c r="C24" t="s">
        <v>321</v>
      </c>
      <c r="D24" t="s">
        <v>15</v>
      </c>
      <c r="E24" t="s">
        <v>16</v>
      </c>
      <c r="F24" t="s">
        <v>23</v>
      </c>
      <c r="G24">
        <v>75000</v>
      </c>
      <c r="J24" s="2"/>
    </row>
    <row r="25" spans="1:10" x14ac:dyDescent="0.3">
      <c r="A25" t="s">
        <v>43</v>
      </c>
      <c r="B25" t="s">
        <v>192</v>
      </c>
      <c r="C25" t="s">
        <v>322</v>
      </c>
      <c r="D25" t="s">
        <v>19</v>
      </c>
      <c r="E25" t="s">
        <v>20</v>
      </c>
      <c r="F25" t="s">
        <v>25</v>
      </c>
      <c r="G25">
        <v>80000</v>
      </c>
      <c r="J25" s="2"/>
    </row>
    <row r="26" spans="1:10" x14ac:dyDescent="0.3">
      <c r="A26" t="s">
        <v>44</v>
      </c>
      <c r="B26" t="s">
        <v>193</v>
      </c>
      <c r="C26" t="s">
        <v>321</v>
      </c>
      <c r="D26" t="s">
        <v>7</v>
      </c>
      <c r="E26" t="s">
        <v>8</v>
      </c>
      <c r="F26" t="s">
        <v>9</v>
      </c>
      <c r="G26">
        <v>85000</v>
      </c>
      <c r="J26" s="2"/>
    </row>
    <row r="27" spans="1:10" x14ac:dyDescent="0.3">
      <c r="A27" t="s">
        <v>45</v>
      </c>
      <c r="B27" t="s">
        <v>194</v>
      </c>
      <c r="C27" t="s">
        <v>322</v>
      </c>
      <c r="D27" t="s">
        <v>11</v>
      </c>
      <c r="E27" t="s">
        <v>12</v>
      </c>
      <c r="F27" t="s">
        <v>13</v>
      </c>
      <c r="G27">
        <v>90000</v>
      </c>
      <c r="J27" s="2"/>
    </row>
    <row r="28" spans="1:10" x14ac:dyDescent="0.3">
      <c r="A28" t="s">
        <v>46</v>
      </c>
      <c r="B28" t="s">
        <v>195</v>
      </c>
      <c r="C28" t="s">
        <v>321</v>
      </c>
      <c r="D28" t="s">
        <v>15</v>
      </c>
      <c r="E28" t="s">
        <v>16</v>
      </c>
      <c r="F28" t="s">
        <v>17</v>
      </c>
      <c r="G28">
        <v>30000</v>
      </c>
      <c r="J28" s="2"/>
    </row>
    <row r="29" spans="1:10" x14ac:dyDescent="0.3">
      <c r="A29" t="s">
        <v>47</v>
      </c>
      <c r="B29" t="s">
        <v>196</v>
      </c>
      <c r="C29" t="s">
        <v>322</v>
      </c>
      <c r="D29" t="s">
        <v>19</v>
      </c>
      <c r="E29" t="s">
        <v>20</v>
      </c>
      <c r="F29" t="s">
        <v>21</v>
      </c>
      <c r="G29">
        <v>35000</v>
      </c>
      <c r="J29" s="2"/>
    </row>
    <row r="30" spans="1:10" x14ac:dyDescent="0.3">
      <c r="A30" t="s">
        <v>48</v>
      </c>
      <c r="B30" t="s">
        <v>197</v>
      </c>
      <c r="C30" t="s">
        <v>321</v>
      </c>
      <c r="D30" t="s">
        <v>7</v>
      </c>
      <c r="E30" t="s">
        <v>8</v>
      </c>
      <c r="F30" t="s">
        <v>23</v>
      </c>
      <c r="G30">
        <v>40000</v>
      </c>
      <c r="J30" s="2"/>
    </row>
    <row r="31" spans="1:10" x14ac:dyDescent="0.3">
      <c r="A31" t="s">
        <v>49</v>
      </c>
      <c r="B31" t="s">
        <v>198</v>
      </c>
      <c r="C31" t="s">
        <v>322</v>
      </c>
      <c r="D31" t="s">
        <v>11</v>
      </c>
      <c r="E31" t="s">
        <v>12</v>
      </c>
      <c r="F31" t="s">
        <v>25</v>
      </c>
      <c r="G31">
        <v>45000</v>
      </c>
      <c r="J31" s="2"/>
    </row>
    <row r="32" spans="1:10" x14ac:dyDescent="0.3">
      <c r="A32" t="s">
        <v>50</v>
      </c>
      <c r="B32" t="s">
        <v>199</v>
      </c>
      <c r="C32" t="s">
        <v>321</v>
      </c>
      <c r="D32" t="s">
        <v>15</v>
      </c>
      <c r="E32" t="s">
        <v>16</v>
      </c>
      <c r="F32" t="s">
        <v>9</v>
      </c>
      <c r="G32">
        <v>50000</v>
      </c>
      <c r="J32" s="2"/>
    </row>
    <row r="33" spans="1:10" x14ac:dyDescent="0.3">
      <c r="A33" t="s">
        <v>51</v>
      </c>
      <c r="B33" t="s">
        <v>200</v>
      </c>
      <c r="C33" t="s">
        <v>322</v>
      </c>
      <c r="D33" t="s">
        <v>19</v>
      </c>
      <c r="E33" t="s">
        <v>20</v>
      </c>
      <c r="F33" t="s">
        <v>13</v>
      </c>
      <c r="G33">
        <v>55000</v>
      </c>
      <c r="J33" s="2"/>
    </row>
    <row r="34" spans="1:10" x14ac:dyDescent="0.3">
      <c r="A34" t="s">
        <v>52</v>
      </c>
      <c r="B34" t="s">
        <v>201</v>
      </c>
      <c r="C34" t="s">
        <v>321</v>
      </c>
      <c r="D34" t="s">
        <v>7</v>
      </c>
      <c r="E34" t="s">
        <v>8</v>
      </c>
      <c r="F34" t="s">
        <v>17</v>
      </c>
      <c r="G34">
        <v>60000</v>
      </c>
      <c r="J34" s="2"/>
    </row>
    <row r="35" spans="1:10" x14ac:dyDescent="0.3">
      <c r="A35" t="s">
        <v>53</v>
      </c>
      <c r="B35" t="s">
        <v>202</v>
      </c>
      <c r="C35" t="s">
        <v>322</v>
      </c>
      <c r="D35" t="s">
        <v>11</v>
      </c>
      <c r="E35" t="s">
        <v>12</v>
      </c>
      <c r="F35" t="s">
        <v>21</v>
      </c>
      <c r="G35">
        <v>65000</v>
      </c>
      <c r="J35" s="2"/>
    </row>
    <row r="36" spans="1:10" x14ac:dyDescent="0.3">
      <c r="A36" t="s">
        <v>54</v>
      </c>
      <c r="B36" t="s">
        <v>203</v>
      </c>
      <c r="C36" t="s">
        <v>321</v>
      </c>
      <c r="D36" t="s">
        <v>15</v>
      </c>
      <c r="E36" t="s">
        <v>16</v>
      </c>
      <c r="F36" t="s">
        <v>23</v>
      </c>
      <c r="G36">
        <v>70000</v>
      </c>
      <c r="J36" s="2"/>
    </row>
    <row r="37" spans="1:10" x14ac:dyDescent="0.3">
      <c r="A37" t="s">
        <v>55</v>
      </c>
      <c r="B37" t="s">
        <v>204</v>
      </c>
      <c r="C37" t="s">
        <v>322</v>
      </c>
      <c r="D37" t="s">
        <v>19</v>
      </c>
      <c r="E37" t="s">
        <v>20</v>
      </c>
      <c r="F37" t="s">
        <v>25</v>
      </c>
      <c r="G37">
        <v>75000</v>
      </c>
      <c r="J37" s="2"/>
    </row>
    <row r="38" spans="1:10" x14ac:dyDescent="0.3">
      <c r="A38" t="s">
        <v>56</v>
      </c>
      <c r="B38" t="s">
        <v>205</v>
      </c>
      <c r="C38" t="s">
        <v>321</v>
      </c>
      <c r="D38" t="s">
        <v>7</v>
      </c>
      <c r="E38" t="s">
        <v>8</v>
      </c>
      <c r="F38" t="s">
        <v>9</v>
      </c>
      <c r="G38">
        <v>80000</v>
      </c>
      <c r="J38" s="2"/>
    </row>
    <row r="39" spans="1:10" x14ac:dyDescent="0.3">
      <c r="A39" t="s">
        <v>57</v>
      </c>
      <c r="B39" t="s">
        <v>206</v>
      </c>
      <c r="C39" t="s">
        <v>322</v>
      </c>
      <c r="D39" t="s">
        <v>11</v>
      </c>
      <c r="E39" t="s">
        <v>12</v>
      </c>
      <c r="F39" t="s">
        <v>13</v>
      </c>
      <c r="G39">
        <v>85000</v>
      </c>
      <c r="J39" s="2"/>
    </row>
    <row r="40" spans="1:10" x14ac:dyDescent="0.3">
      <c r="A40" t="s">
        <v>58</v>
      </c>
      <c r="B40" t="s">
        <v>207</v>
      </c>
      <c r="C40" t="s">
        <v>321</v>
      </c>
      <c r="D40" t="s">
        <v>15</v>
      </c>
      <c r="E40" t="s">
        <v>16</v>
      </c>
      <c r="F40" t="s">
        <v>17</v>
      </c>
      <c r="G40">
        <v>90000</v>
      </c>
      <c r="J40" s="2"/>
    </row>
    <row r="41" spans="1:10" x14ac:dyDescent="0.3">
      <c r="A41" t="s">
        <v>59</v>
      </c>
      <c r="B41" t="s">
        <v>208</v>
      </c>
      <c r="C41" t="s">
        <v>322</v>
      </c>
      <c r="D41" t="s">
        <v>19</v>
      </c>
      <c r="E41" t="s">
        <v>20</v>
      </c>
      <c r="F41" t="s">
        <v>21</v>
      </c>
      <c r="G41">
        <v>30000</v>
      </c>
      <c r="J41" s="2"/>
    </row>
    <row r="42" spans="1:10" x14ac:dyDescent="0.3">
      <c r="A42" t="s">
        <v>60</v>
      </c>
      <c r="B42" t="s">
        <v>209</v>
      </c>
      <c r="C42" t="s">
        <v>321</v>
      </c>
      <c r="D42" t="s">
        <v>7</v>
      </c>
      <c r="E42" t="s">
        <v>8</v>
      </c>
      <c r="F42" t="s">
        <v>23</v>
      </c>
      <c r="G42">
        <v>35000</v>
      </c>
      <c r="J42" s="2"/>
    </row>
    <row r="43" spans="1:10" x14ac:dyDescent="0.3">
      <c r="A43" t="s">
        <v>61</v>
      </c>
      <c r="B43" t="s">
        <v>210</v>
      </c>
      <c r="C43" t="s">
        <v>322</v>
      </c>
      <c r="D43" t="s">
        <v>11</v>
      </c>
      <c r="E43" t="s">
        <v>12</v>
      </c>
      <c r="F43" t="s">
        <v>25</v>
      </c>
      <c r="G43">
        <v>40000</v>
      </c>
      <c r="J43" s="2"/>
    </row>
    <row r="44" spans="1:10" x14ac:dyDescent="0.3">
      <c r="A44" t="s">
        <v>62</v>
      </c>
      <c r="B44" t="s">
        <v>211</v>
      </c>
      <c r="C44" t="s">
        <v>321</v>
      </c>
      <c r="D44" t="s">
        <v>15</v>
      </c>
      <c r="E44" t="s">
        <v>16</v>
      </c>
      <c r="F44" t="s">
        <v>9</v>
      </c>
      <c r="G44">
        <v>45000</v>
      </c>
      <c r="J44" s="2"/>
    </row>
    <row r="45" spans="1:10" x14ac:dyDescent="0.3">
      <c r="A45" t="s">
        <v>63</v>
      </c>
      <c r="B45" t="s">
        <v>212</v>
      </c>
      <c r="C45" t="s">
        <v>322</v>
      </c>
      <c r="D45" t="s">
        <v>19</v>
      </c>
      <c r="E45" t="s">
        <v>20</v>
      </c>
      <c r="F45" t="s">
        <v>13</v>
      </c>
      <c r="G45">
        <v>50000</v>
      </c>
      <c r="J45" s="2"/>
    </row>
    <row r="46" spans="1:10" x14ac:dyDescent="0.3">
      <c r="A46" t="s">
        <v>64</v>
      </c>
      <c r="B46" t="s">
        <v>213</v>
      </c>
      <c r="C46" t="s">
        <v>321</v>
      </c>
      <c r="D46" t="s">
        <v>7</v>
      </c>
      <c r="E46" t="s">
        <v>8</v>
      </c>
      <c r="F46" t="s">
        <v>17</v>
      </c>
      <c r="G46">
        <v>55000</v>
      </c>
      <c r="J46" s="2"/>
    </row>
    <row r="47" spans="1:10" x14ac:dyDescent="0.3">
      <c r="A47" t="s">
        <v>65</v>
      </c>
      <c r="B47" t="s">
        <v>214</v>
      </c>
      <c r="C47" t="s">
        <v>322</v>
      </c>
      <c r="D47" t="s">
        <v>11</v>
      </c>
      <c r="E47" t="s">
        <v>12</v>
      </c>
      <c r="F47" t="s">
        <v>21</v>
      </c>
      <c r="G47">
        <v>60000</v>
      </c>
      <c r="J47" s="2"/>
    </row>
    <row r="48" spans="1:10" x14ac:dyDescent="0.3">
      <c r="A48" t="s">
        <v>66</v>
      </c>
      <c r="B48" t="s">
        <v>215</v>
      </c>
      <c r="C48" t="s">
        <v>321</v>
      </c>
      <c r="D48" t="s">
        <v>15</v>
      </c>
      <c r="E48" t="s">
        <v>16</v>
      </c>
      <c r="F48" t="s">
        <v>23</v>
      </c>
      <c r="G48">
        <v>65000</v>
      </c>
      <c r="J48" s="2"/>
    </row>
    <row r="49" spans="1:10" x14ac:dyDescent="0.3">
      <c r="A49" t="s">
        <v>67</v>
      </c>
      <c r="B49" t="s">
        <v>216</v>
      </c>
      <c r="C49" t="s">
        <v>322</v>
      </c>
      <c r="D49" t="s">
        <v>19</v>
      </c>
      <c r="E49" t="s">
        <v>20</v>
      </c>
      <c r="F49" t="s">
        <v>25</v>
      </c>
      <c r="G49">
        <v>70000</v>
      </c>
      <c r="J49" s="2"/>
    </row>
    <row r="50" spans="1:10" x14ac:dyDescent="0.3">
      <c r="A50" t="s">
        <v>68</v>
      </c>
      <c r="B50" t="s">
        <v>217</v>
      </c>
      <c r="C50" t="s">
        <v>321</v>
      </c>
      <c r="D50" t="s">
        <v>7</v>
      </c>
      <c r="E50" t="s">
        <v>8</v>
      </c>
      <c r="F50" t="s">
        <v>9</v>
      </c>
      <c r="G50">
        <v>75000</v>
      </c>
      <c r="J50" s="2"/>
    </row>
    <row r="51" spans="1:10" x14ac:dyDescent="0.3">
      <c r="A51" t="s">
        <v>69</v>
      </c>
      <c r="B51" t="s">
        <v>218</v>
      </c>
      <c r="C51" t="s">
        <v>322</v>
      </c>
      <c r="D51" t="s">
        <v>11</v>
      </c>
      <c r="E51" t="s">
        <v>12</v>
      </c>
      <c r="F51" t="s">
        <v>13</v>
      </c>
      <c r="G51">
        <v>80000</v>
      </c>
      <c r="J51" s="2"/>
    </row>
    <row r="52" spans="1:10" x14ac:dyDescent="0.3">
      <c r="A52" t="s">
        <v>70</v>
      </c>
      <c r="B52" t="s">
        <v>219</v>
      </c>
      <c r="C52" t="s">
        <v>321</v>
      </c>
      <c r="D52" t="s">
        <v>15</v>
      </c>
      <c r="E52" t="s">
        <v>16</v>
      </c>
      <c r="F52" t="s">
        <v>17</v>
      </c>
      <c r="G52">
        <v>85000</v>
      </c>
      <c r="J52" s="2"/>
    </row>
    <row r="53" spans="1:10" x14ac:dyDescent="0.3">
      <c r="A53" t="s">
        <v>71</v>
      </c>
      <c r="B53" t="s">
        <v>220</v>
      </c>
      <c r="C53" t="s">
        <v>322</v>
      </c>
      <c r="D53" t="s">
        <v>19</v>
      </c>
      <c r="E53" t="s">
        <v>20</v>
      </c>
      <c r="F53" t="s">
        <v>21</v>
      </c>
      <c r="G53">
        <v>90000</v>
      </c>
      <c r="J53" s="2"/>
    </row>
    <row r="54" spans="1:10" x14ac:dyDescent="0.3">
      <c r="A54" t="s">
        <v>72</v>
      </c>
      <c r="B54" t="s">
        <v>221</v>
      </c>
      <c r="C54" t="s">
        <v>321</v>
      </c>
      <c r="D54" t="s">
        <v>7</v>
      </c>
      <c r="E54" t="s">
        <v>8</v>
      </c>
      <c r="F54" t="s">
        <v>23</v>
      </c>
      <c r="G54">
        <v>30000</v>
      </c>
      <c r="J54" s="2"/>
    </row>
    <row r="55" spans="1:10" x14ac:dyDescent="0.3">
      <c r="A55" t="s">
        <v>73</v>
      </c>
      <c r="B55" t="s">
        <v>222</v>
      </c>
      <c r="C55" t="s">
        <v>322</v>
      </c>
      <c r="D55" t="s">
        <v>11</v>
      </c>
      <c r="E55" t="s">
        <v>12</v>
      </c>
      <c r="F55" t="s">
        <v>25</v>
      </c>
      <c r="G55">
        <v>35000</v>
      </c>
      <c r="J55" s="2"/>
    </row>
    <row r="56" spans="1:10" x14ac:dyDescent="0.3">
      <c r="A56" t="s">
        <v>74</v>
      </c>
      <c r="B56" t="s">
        <v>223</v>
      </c>
      <c r="C56" t="s">
        <v>321</v>
      </c>
      <c r="D56" t="s">
        <v>15</v>
      </c>
      <c r="E56" t="s">
        <v>16</v>
      </c>
      <c r="F56" t="s">
        <v>9</v>
      </c>
      <c r="G56">
        <v>40000</v>
      </c>
      <c r="J56" s="2"/>
    </row>
    <row r="57" spans="1:10" x14ac:dyDescent="0.3">
      <c r="A57" t="s">
        <v>75</v>
      </c>
      <c r="B57" t="s">
        <v>224</v>
      </c>
      <c r="C57" t="s">
        <v>322</v>
      </c>
      <c r="D57" t="s">
        <v>19</v>
      </c>
      <c r="E57" t="s">
        <v>20</v>
      </c>
      <c r="F57" t="s">
        <v>13</v>
      </c>
      <c r="G57">
        <v>45000</v>
      </c>
      <c r="J57" s="2"/>
    </row>
    <row r="58" spans="1:10" x14ac:dyDescent="0.3">
      <c r="A58" t="s">
        <v>76</v>
      </c>
      <c r="B58" t="s">
        <v>225</v>
      </c>
      <c r="C58" t="s">
        <v>321</v>
      </c>
      <c r="D58" t="s">
        <v>7</v>
      </c>
      <c r="E58" t="s">
        <v>8</v>
      </c>
      <c r="F58" t="s">
        <v>17</v>
      </c>
      <c r="G58">
        <v>50000</v>
      </c>
      <c r="J58" s="2"/>
    </row>
    <row r="59" spans="1:10" x14ac:dyDescent="0.3">
      <c r="A59" t="s">
        <v>77</v>
      </c>
      <c r="B59" t="s">
        <v>226</v>
      </c>
      <c r="C59" t="s">
        <v>322</v>
      </c>
      <c r="D59" t="s">
        <v>11</v>
      </c>
      <c r="E59" t="s">
        <v>12</v>
      </c>
      <c r="F59" t="s">
        <v>21</v>
      </c>
      <c r="G59">
        <v>55000</v>
      </c>
      <c r="J59" s="2"/>
    </row>
    <row r="60" spans="1:10" x14ac:dyDescent="0.3">
      <c r="A60" t="s">
        <v>78</v>
      </c>
      <c r="B60" t="s">
        <v>227</v>
      </c>
      <c r="C60" t="s">
        <v>321</v>
      </c>
      <c r="D60" t="s">
        <v>15</v>
      </c>
      <c r="E60" t="s">
        <v>16</v>
      </c>
      <c r="F60" t="s">
        <v>23</v>
      </c>
      <c r="G60">
        <v>60000</v>
      </c>
      <c r="J60" s="2"/>
    </row>
    <row r="61" spans="1:10" x14ac:dyDescent="0.3">
      <c r="A61" t="s">
        <v>79</v>
      </c>
      <c r="B61" t="s">
        <v>228</v>
      </c>
      <c r="C61" t="s">
        <v>322</v>
      </c>
      <c r="D61" t="s">
        <v>19</v>
      </c>
      <c r="E61" t="s">
        <v>20</v>
      </c>
      <c r="F61" t="s">
        <v>25</v>
      </c>
      <c r="G61">
        <v>65000</v>
      </c>
      <c r="J61" s="2"/>
    </row>
    <row r="62" spans="1:10" x14ac:dyDescent="0.3">
      <c r="A62" t="s">
        <v>80</v>
      </c>
      <c r="B62" t="s">
        <v>229</v>
      </c>
      <c r="C62" t="s">
        <v>321</v>
      </c>
      <c r="D62" t="s">
        <v>7</v>
      </c>
      <c r="E62" t="s">
        <v>8</v>
      </c>
      <c r="F62" t="s">
        <v>9</v>
      </c>
      <c r="G62">
        <v>70000</v>
      </c>
      <c r="J62" s="2"/>
    </row>
    <row r="63" spans="1:10" x14ac:dyDescent="0.3">
      <c r="A63" t="s">
        <v>81</v>
      </c>
      <c r="B63" t="s">
        <v>230</v>
      </c>
      <c r="C63" t="s">
        <v>322</v>
      </c>
      <c r="D63" t="s">
        <v>11</v>
      </c>
      <c r="E63" t="s">
        <v>12</v>
      </c>
      <c r="F63" t="s">
        <v>13</v>
      </c>
      <c r="G63">
        <v>75000</v>
      </c>
      <c r="J63" s="2"/>
    </row>
    <row r="64" spans="1:10" x14ac:dyDescent="0.3">
      <c r="A64" t="s">
        <v>82</v>
      </c>
      <c r="B64" t="s">
        <v>231</v>
      </c>
      <c r="C64" t="s">
        <v>321</v>
      </c>
      <c r="D64" t="s">
        <v>15</v>
      </c>
      <c r="E64" t="s">
        <v>16</v>
      </c>
      <c r="F64" t="s">
        <v>17</v>
      </c>
      <c r="G64">
        <v>80000</v>
      </c>
      <c r="J64" s="2"/>
    </row>
    <row r="65" spans="1:10" x14ac:dyDescent="0.3">
      <c r="A65" t="s">
        <v>83</v>
      </c>
      <c r="B65" t="s">
        <v>232</v>
      </c>
      <c r="C65" t="s">
        <v>322</v>
      </c>
      <c r="D65" t="s">
        <v>19</v>
      </c>
      <c r="E65" t="s">
        <v>20</v>
      </c>
      <c r="F65" t="s">
        <v>21</v>
      </c>
      <c r="G65">
        <v>85000</v>
      </c>
      <c r="J65" s="2"/>
    </row>
    <row r="66" spans="1:10" x14ac:dyDescent="0.3">
      <c r="A66" t="s">
        <v>84</v>
      </c>
      <c r="B66" t="s">
        <v>233</v>
      </c>
      <c r="C66" t="s">
        <v>321</v>
      </c>
      <c r="D66" t="s">
        <v>7</v>
      </c>
      <c r="E66" t="s">
        <v>8</v>
      </c>
      <c r="F66" t="s">
        <v>23</v>
      </c>
      <c r="G66">
        <v>90000</v>
      </c>
      <c r="J66" s="2"/>
    </row>
    <row r="67" spans="1:10" x14ac:dyDescent="0.3">
      <c r="A67" t="s">
        <v>85</v>
      </c>
      <c r="B67" t="s">
        <v>234</v>
      </c>
      <c r="C67" t="s">
        <v>322</v>
      </c>
      <c r="D67" t="s">
        <v>11</v>
      </c>
      <c r="E67" t="s">
        <v>12</v>
      </c>
      <c r="F67" t="s">
        <v>25</v>
      </c>
      <c r="G67">
        <v>30000</v>
      </c>
      <c r="J67" s="2"/>
    </row>
    <row r="68" spans="1:10" x14ac:dyDescent="0.3">
      <c r="A68" t="s">
        <v>86</v>
      </c>
      <c r="B68" t="s">
        <v>235</v>
      </c>
      <c r="C68" t="s">
        <v>321</v>
      </c>
      <c r="D68" t="s">
        <v>15</v>
      </c>
      <c r="E68" t="s">
        <v>16</v>
      </c>
      <c r="F68" t="s">
        <v>9</v>
      </c>
      <c r="G68">
        <v>35000</v>
      </c>
      <c r="J68" s="2"/>
    </row>
    <row r="69" spans="1:10" x14ac:dyDescent="0.3">
      <c r="A69" t="s">
        <v>87</v>
      </c>
      <c r="B69" t="s">
        <v>236</v>
      </c>
      <c r="C69" t="s">
        <v>322</v>
      </c>
      <c r="D69" t="s">
        <v>19</v>
      </c>
      <c r="E69" t="s">
        <v>20</v>
      </c>
      <c r="F69" t="s">
        <v>13</v>
      </c>
      <c r="G69">
        <v>40000</v>
      </c>
      <c r="J69" s="2"/>
    </row>
    <row r="70" spans="1:10" x14ac:dyDescent="0.3">
      <c r="A70" t="s">
        <v>88</v>
      </c>
      <c r="B70" t="s">
        <v>237</v>
      </c>
      <c r="C70" t="s">
        <v>321</v>
      </c>
      <c r="D70" t="s">
        <v>7</v>
      </c>
      <c r="E70" t="s">
        <v>8</v>
      </c>
      <c r="F70" t="s">
        <v>17</v>
      </c>
      <c r="G70">
        <v>45000</v>
      </c>
      <c r="J70" s="2"/>
    </row>
    <row r="71" spans="1:10" x14ac:dyDescent="0.3">
      <c r="A71" t="s">
        <v>89</v>
      </c>
      <c r="B71" t="s">
        <v>238</v>
      </c>
      <c r="C71" t="s">
        <v>322</v>
      </c>
      <c r="D71" t="s">
        <v>11</v>
      </c>
      <c r="E71" t="s">
        <v>12</v>
      </c>
      <c r="F71" t="s">
        <v>21</v>
      </c>
      <c r="G71">
        <v>50000</v>
      </c>
      <c r="J71" s="2"/>
    </row>
    <row r="72" spans="1:10" x14ac:dyDescent="0.3">
      <c r="A72" t="s">
        <v>90</v>
      </c>
      <c r="B72" t="s">
        <v>239</v>
      </c>
      <c r="C72" t="s">
        <v>321</v>
      </c>
      <c r="D72" t="s">
        <v>15</v>
      </c>
      <c r="E72" t="s">
        <v>16</v>
      </c>
      <c r="F72" t="s">
        <v>23</v>
      </c>
      <c r="G72">
        <v>55000</v>
      </c>
      <c r="J72" s="2"/>
    </row>
    <row r="73" spans="1:10" x14ac:dyDescent="0.3">
      <c r="A73" t="s">
        <v>91</v>
      </c>
      <c r="B73" t="s">
        <v>240</v>
      </c>
      <c r="C73" t="s">
        <v>322</v>
      </c>
      <c r="D73" t="s">
        <v>19</v>
      </c>
      <c r="E73" t="s">
        <v>20</v>
      </c>
      <c r="F73" t="s">
        <v>25</v>
      </c>
      <c r="G73">
        <v>60000</v>
      </c>
      <c r="J73" s="2"/>
    </row>
    <row r="74" spans="1:10" x14ac:dyDescent="0.3">
      <c r="A74" t="s">
        <v>92</v>
      </c>
      <c r="B74" t="s">
        <v>241</v>
      </c>
      <c r="C74" t="s">
        <v>321</v>
      </c>
      <c r="D74" t="s">
        <v>7</v>
      </c>
      <c r="E74" t="s">
        <v>8</v>
      </c>
      <c r="F74" t="s">
        <v>9</v>
      </c>
      <c r="G74">
        <v>65000</v>
      </c>
      <c r="J74" s="2"/>
    </row>
    <row r="75" spans="1:10" x14ac:dyDescent="0.3">
      <c r="A75" t="s">
        <v>93</v>
      </c>
      <c r="B75" t="s">
        <v>242</v>
      </c>
      <c r="C75" t="s">
        <v>322</v>
      </c>
      <c r="D75" t="s">
        <v>11</v>
      </c>
      <c r="E75" t="s">
        <v>12</v>
      </c>
      <c r="F75" t="s">
        <v>13</v>
      </c>
      <c r="G75">
        <v>70000</v>
      </c>
      <c r="J75" s="2"/>
    </row>
    <row r="76" spans="1:10" x14ac:dyDescent="0.3">
      <c r="A76" t="s">
        <v>94</v>
      </c>
      <c r="B76" t="s">
        <v>243</v>
      </c>
      <c r="C76" t="s">
        <v>321</v>
      </c>
      <c r="D76" t="s">
        <v>15</v>
      </c>
      <c r="E76" t="s">
        <v>16</v>
      </c>
      <c r="F76" t="s">
        <v>17</v>
      </c>
      <c r="G76">
        <v>75000</v>
      </c>
      <c r="J76" s="2"/>
    </row>
    <row r="77" spans="1:10" x14ac:dyDescent="0.3">
      <c r="A77" t="s">
        <v>95</v>
      </c>
      <c r="B77" t="s">
        <v>244</v>
      </c>
      <c r="C77" t="s">
        <v>322</v>
      </c>
      <c r="D77" t="s">
        <v>19</v>
      </c>
      <c r="E77" t="s">
        <v>20</v>
      </c>
      <c r="F77" t="s">
        <v>21</v>
      </c>
      <c r="G77">
        <v>80000</v>
      </c>
      <c r="J77" s="2"/>
    </row>
    <row r="78" spans="1:10" x14ac:dyDescent="0.3">
      <c r="A78" t="s">
        <v>96</v>
      </c>
      <c r="B78" t="s">
        <v>245</v>
      </c>
      <c r="C78" t="s">
        <v>321</v>
      </c>
      <c r="D78" t="s">
        <v>7</v>
      </c>
      <c r="E78" t="s">
        <v>8</v>
      </c>
      <c r="F78" t="s">
        <v>23</v>
      </c>
      <c r="G78">
        <v>85000</v>
      </c>
      <c r="J78" s="2"/>
    </row>
    <row r="79" spans="1:10" x14ac:dyDescent="0.3">
      <c r="A79" t="s">
        <v>97</v>
      </c>
      <c r="B79" t="s">
        <v>246</v>
      </c>
      <c r="C79" t="s">
        <v>322</v>
      </c>
      <c r="D79" t="s">
        <v>11</v>
      </c>
      <c r="E79" t="s">
        <v>12</v>
      </c>
      <c r="F79" t="s">
        <v>25</v>
      </c>
      <c r="G79">
        <v>90000</v>
      </c>
      <c r="J79" s="2"/>
    </row>
    <row r="80" spans="1:10" x14ac:dyDescent="0.3">
      <c r="A80" t="s">
        <v>98</v>
      </c>
      <c r="B80" t="s">
        <v>247</v>
      </c>
      <c r="C80" t="s">
        <v>321</v>
      </c>
      <c r="D80" t="s">
        <v>15</v>
      </c>
      <c r="E80" t="s">
        <v>16</v>
      </c>
      <c r="F80" t="s">
        <v>9</v>
      </c>
      <c r="G80">
        <v>30000</v>
      </c>
      <c r="J80" s="2"/>
    </row>
    <row r="81" spans="1:10" x14ac:dyDescent="0.3">
      <c r="A81" t="s">
        <v>99</v>
      </c>
      <c r="B81" t="s">
        <v>248</v>
      </c>
      <c r="C81" t="s">
        <v>322</v>
      </c>
      <c r="D81" t="s">
        <v>19</v>
      </c>
      <c r="E81" t="s">
        <v>20</v>
      </c>
      <c r="F81" t="s">
        <v>13</v>
      </c>
      <c r="G81">
        <v>35000</v>
      </c>
      <c r="J81" s="2"/>
    </row>
    <row r="82" spans="1:10" x14ac:dyDescent="0.3">
      <c r="A82" t="s">
        <v>100</v>
      </c>
      <c r="B82" t="s">
        <v>249</v>
      </c>
      <c r="C82" t="s">
        <v>321</v>
      </c>
      <c r="D82" t="s">
        <v>7</v>
      </c>
      <c r="E82" t="s">
        <v>8</v>
      </c>
      <c r="F82" t="s">
        <v>17</v>
      </c>
      <c r="G82">
        <v>40000</v>
      </c>
      <c r="J82" s="2"/>
    </row>
    <row r="83" spans="1:10" x14ac:dyDescent="0.3">
      <c r="A83" t="s">
        <v>101</v>
      </c>
      <c r="B83" t="s">
        <v>250</v>
      </c>
      <c r="C83" t="s">
        <v>322</v>
      </c>
      <c r="D83" t="s">
        <v>11</v>
      </c>
      <c r="E83" t="s">
        <v>12</v>
      </c>
      <c r="F83" t="s">
        <v>21</v>
      </c>
      <c r="G83">
        <v>45000</v>
      </c>
      <c r="J83" s="2"/>
    </row>
    <row r="84" spans="1:10" x14ac:dyDescent="0.3">
      <c r="A84" t="s">
        <v>102</v>
      </c>
      <c r="B84" t="s">
        <v>251</v>
      </c>
      <c r="C84" t="s">
        <v>321</v>
      </c>
      <c r="D84" t="s">
        <v>15</v>
      </c>
      <c r="E84" t="s">
        <v>16</v>
      </c>
      <c r="F84" t="s">
        <v>23</v>
      </c>
      <c r="G84">
        <v>50000</v>
      </c>
      <c r="J84" s="2"/>
    </row>
    <row r="85" spans="1:10" x14ac:dyDescent="0.3">
      <c r="A85" t="s">
        <v>103</v>
      </c>
      <c r="B85" t="s">
        <v>252</v>
      </c>
      <c r="C85" t="s">
        <v>322</v>
      </c>
      <c r="D85" t="s">
        <v>19</v>
      </c>
      <c r="E85" t="s">
        <v>20</v>
      </c>
      <c r="F85" t="s">
        <v>25</v>
      </c>
      <c r="G85">
        <v>55000</v>
      </c>
      <c r="J85" s="2"/>
    </row>
    <row r="86" spans="1:10" x14ac:dyDescent="0.3">
      <c r="A86" t="s">
        <v>104</v>
      </c>
      <c r="B86" t="s">
        <v>253</v>
      </c>
      <c r="C86" t="s">
        <v>321</v>
      </c>
      <c r="D86" t="s">
        <v>7</v>
      </c>
      <c r="E86" t="s">
        <v>8</v>
      </c>
      <c r="F86" t="s">
        <v>9</v>
      </c>
      <c r="G86">
        <v>60000</v>
      </c>
      <c r="J86" s="2"/>
    </row>
    <row r="87" spans="1:10" x14ac:dyDescent="0.3">
      <c r="A87" t="s">
        <v>105</v>
      </c>
      <c r="B87" t="s">
        <v>254</v>
      </c>
      <c r="C87" t="s">
        <v>322</v>
      </c>
      <c r="D87" t="s">
        <v>11</v>
      </c>
      <c r="E87" t="s">
        <v>12</v>
      </c>
      <c r="F87" t="s">
        <v>13</v>
      </c>
      <c r="G87">
        <v>65000</v>
      </c>
      <c r="J87" s="2"/>
    </row>
    <row r="88" spans="1:10" x14ac:dyDescent="0.3">
      <c r="A88" t="s">
        <v>106</v>
      </c>
      <c r="B88" t="s">
        <v>255</v>
      </c>
      <c r="C88" t="s">
        <v>321</v>
      </c>
      <c r="D88" t="s">
        <v>15</v>
      </c>
      <c r="E88" t="s">
        <v>16</v>
      </c>
      <c r="F88" t="s">
        <v>17</v>
      </c>
      <c r="G88">
        <v>70000</v>
      </c>
      <c r="J88" s="2"/>
    </row>
    <row r="89" spans="1:10" x14ac:dyDescent="0.3">
      <c r="A89" t="s">
        <v>107</v>
      </c>
      <c r="B89" t="s">
        <v>256</v>
      </c>
      <c r="C89" t="s">
        <v>322</v>
      </c>
      <c r="D89" t="s">
        <v>19</v>
      </c>
      <c r="E89" t="s">
        <v>20</v>
      </c>
      <c r="F89" t="s">
        <v>21</v>
      </c>
      <c r="G89">
        <v>75000</v>
      </c>
      <c r="J89" s="2"/>
    </row>
    <row r="90" spans="1:10" x14ac:dyDescent="0.3">
      <c r="A90" t="s">
        <v>108</v>
      </c>
      <c r="B90" t="s">
        <v>257</v>
      </c>
      <c r="C90" t="s">
        <v>321</v>
      </c>
      <c r="D90" t="s">
        <v>7</v>
      </c>
      <c r="E90" t="s">
        <v>8</v>
      </c>
      <c r="F90" t="s">
        <v>23</v>
      </c>
      <c r="G90">
        <v>80000</v>
      </c>
      <c r="J90" s="2"/>
    </row>
    <row r="91" spans="1:10" x14ac:dyDescent="0.3">
      <c r="A91" t="s">
        <v>109</v>
      </c>
      <c r="B91" t="s">
        <v>258</v>
      </c>
      <c r="C91" t="s">
        <v>322</v>
      </c>
      <c r="D91" t="s">
        <v>11</v>
      </c>
      <c r="E91" t="s">
        <v>12</v>
      </c>
      <c r="F91" t="s">
        <v>25</v>
      </c>
      <c r="G91">
        <v>85000</v>
      </c>
      <c r="J91" s="2"/>
    </row>
    <row r="92" spans="1:10" x14ac:dyDescent="0.3">
      <c r="A92" t="s">
        <v>110</v>
      </c>
      <c r="B92" t="s">
        <v>259</v>
      </c>
      <c r="C92" t="s">
        <v>321</v>
      </c>
      <c r="D92" t="s">
        <v>15</v>
      </c>
      <c r="E92" t="s">
        <v>16</v>
      </c>
      <c r="F92" t="s">
        <v>9</v>
      </c>
      <c r="G92">
        <v>90000</v>
      </c>
      <c r="J92" s="2"/>
    </row>
    <row r="93" spans="1:10" x14ac:dyDescent="0.3">
      <c r="A93" t="s">
        <v>111</v>
      </c>
      <c r="B93" t="s">
        <v>260</v>
      </c>
      <c r="C93" t="s">
        <v>322</v>
      </c>
      <c r="D93" t="s">
        <v>19</v>
      </c>
      <c r="E93" t="s">
        <v>20</v>
      </c>
      <c r="F93" t="s">
        <v>13</v>
      </c>
      <c r="G93">
        <v>30000</v>
      </c>
      <c r="J93" s="2"/>
    </row>
    <row r="94" spans="1:10" x14ac:dyDescent="0.3">
      <c r="A94" t="s">
        <v>112</v>
      </c>
      <c r="B94" t="s">
        <v>261</v>
      </c>
      <c r="C94" t="s">
        <v>321</v>
      </c>
      <c r="D94" t="s">
        <v>7</v>
      </c>
      <c r="E94" t="s">
        <v>8</v>
      </c>
      <c r="F94" t="s">
        <v>17</v>
      </c>
      <c r="G94">
        <v>35000</v>
      </c>
      <c r="J94" s="2"/>
    </row>
    <row r="95" spans="1:10" x14ac:dyDescent="0.3">
      <c r="A95" t="s">
        <v>113</v>
      </c>
      <c r="B95" t="s">
        <v>262</v>
      </c>
      <c r="C95" t="s">
        <v>322</v>
      </c>
      <c r="D95" t="s">
        <v>11</v>
      </c>
      <c r="E95" t="s">
        <v>12</v>
      </c>
      <c r="F95" t="s">
        <v>21</v>
      </c>
      <c r="G95">
        <v>40000</v>
      </c>
      <c r="J95" s="2"/>
    </row>
    <row r="96" spans="1:10" x14ac:dyDescent="0.3">
      <c r="A96" t="s">
        <v>114</v>
      </c>
      <c r="B96" t="s">
        <v>263</v>
      </c>
      <c r="C96" t="s">
        <v>321</v>
      </c>
      <c r="D96" t="s">
        <v>15</v>
      </c>
      <c r="E96" t="s">
        <v>16</v>
      </c>
      <c r="F96" t="s">
        <v>23</v>
      </c>
      <c r="G96">
        <v>45000</v>
      </c>
      <c r="J96" s="2"/>
    </row>
    <row r="97" spans="1:10" x14ac:dyDescent="0.3">
      <c r="A97" t="s">
        <v>115</v>
      </c>
      <c r="B97" t="s">
        <v>264</v>
      </c>
      <c r="C97" t="s">
        <v>322</v>
      </c>
      <c r="D97" t="s">
        <v>19</v>
      </c>
      <c r="E97" t="s">
        <v>20</v>
      </c>
      <c r="F97" t="s">
        <v>25</v>
      </c>
      <c r="G97">
        <v>50000</v>
      </c>
      <c r="J97" s="2"/>
    </row>
    <row r="98" spans="1:10" x14ac:dyDescent="0.3">
      <c r="A98" t="s">
        <v>116</v>
      </c>
      <c r="B98" t="s">
        <v>265</v>
      </c>
      <c r="C98" t="s">
        <v>321</v>
      </c>
      <c r="D98" t="s">
        <v>7</v>
      </c>
      <c r="E98" t="s">
        <v>8</v>
      </c>
      <c r="F98" t="s">
        <v>9</v>
      </c>
      <c r="G98">
        <v>55000</v>
      </c>
      <c r="J98" s="2"/>
    </row>
    <row r="99" spans="1:10" x14ac:dyDescent="0.3">
      <c r="A99" t="s">
        <v>117</v>
      </c>
      <c r="B99" t="s">
        <v>266</v>
      </c>
      <c r="C99" t="s">
        <v>322</v>
      </c>
      <c r="D99" t="s">
        <v>11</v>
      </c>
      <c r="E99" t="s">
        <v>12</v>
      </c>
      <c r="F99" t="s">
        <v>13</v>
      </c>
      <c r="G99">
        <v>60000</v>
      </c>
      <c r="J99" s="2"/>
    </row>
    <row r="100" spans="1:10" x14ac:dyDescent="0.3">
      <c r="A100" t="s">
        <v>118</v>
      </c>
      <c r="B100" t="s">
        <v>267</v>
      </c>
      <c r="C100" t="s">
        <v>321</v>
      </c>
      <c r="D100" t="s">
        <v>15</v>
      </c>
      <c r="E100" t="s">
        <v>16</v>
      </c>
      <c r="F100" t="s">
        <v>17</v>
      </c>
      <c r="G100">
        <v>65000</v>
      </c>
      <c r="J100" s="2"/>
    </row>
    <row r="101" spans="1:10" x14ac:dyDescent="0.3">
      <c r="A101" t="s">
        <v>119</v>
      </c>
      <c r="B101" t="s">
        <v>268</v>
      </c>
      <c r="C101" t="s">
        <v>322</v>
      </c>
      <c r="D101" t="s">
        <v>19</v>
      </c>
      <c r="E101" t="s">
        <v>20</v>
      </c>
      <c r="F101" t="s">
        <v>21</v>
      </c>
      <c r="G101">
        <v>70000</v>
      </c>
      <c r="J101" s="2"/>
    </row>
    <row r="102" spans="1:10" x14ac:dyDescent="0.3">
      <c r="A102" t="s">
        <v>120</v>
      </c>
      <c r="B102" t="s">
        <v>269</v>
      </c>
      <c r="C102" t="s">
        <v>321</v>
      </c>
      <c r="D102" t="s">
        <v>7</v>
      </c>
      <c r="E102" t="s">
        <v>8</v>
      </c>
      <c r="F102" t="s">
        <v>23</v>
      </c>
      <c r="G102">
        <v>75000</v>
      </c>
      <c r="J102" s="2"/>
    </row>
    <row r="103" spans="1:10" x14ac:dyDescent="0.3">
      <c r="A103" t="s">
        <v>121</v>
      </c>
      <c r="B103" t="s">
        <v>270</v>
      </c>
      <c r="C103" t="s">
        <v>322</v>
      </c>
      <c r="D103" t="s">
        <v>11</v>
      </c>
      <c r="E103" t="s">
        <v>12</v>
      </c>
      <c r="F103" t="s">
        <v>25</v>
      </c>
      <c r="G103">
        <v>80000</v>
      </c>
      <c r="J103" s="2"/>
    </row>
    <row r="104" spans="1:10" x14ac:dyDescent="0.3">
      <c r="A104" t="s">
        <v>122</v>
      </c>
      <c r="B104" t="s">
        <v>271</v>
      </c>
      <c r="C104" t="s">
        <v>321</v>
      </c>
      <c r="D104" t="s">
        <v>15</v>
      </c>
      <c r="E104" t="s">
        <v>16</v>
      </c>
      <c r="F104" t="s">
        <v>9</v>
      </c>
      <c r="G104">
        <v>85000</v>
      </c>
      <c r="J104" s="2"/>
    </row>
    <row r="105" spans="1:10" x14ac:dyDescent="0.3">
      <c r="A105" t="s">
        <v>123</v>
      </c>
      <c r="B105" t="s">
        <v>272</v>
      </c>
      <c r="C105" t="s">
        <v>322</v>
      </c>
      <c r="D105" t="s">
        <v>19</v>
      </c>
      <c r="E105" t="s">
        <v>20</v>
      </c>
      <c r="F105" t="s">
        <v>13</v>
      </c>
      <c r="G105">
        <v>90000</v>
      </c>
      <c r="J105" s="2"/>
    </row>
    <row r="106" spans="1:10" x14ac:dyDescent="0.3">
      <c r="A106" t="s">
        <v>124</v>
      </c>
      <c r="B106" t="s">
        <v>273</v>
      </c>
      <c r="C106" t="s">
        <v>321</v>
      </c>
      <c r="D106" t="s">
        <v>7</v>
      </c>
      <c r="E106" t="s">
        <v>8</v>
      </c>
      <c r="F106" t="s">
        <v>17</v>
      </c>
      <c r="G106">
        <v>30000</v>
      </c>
      <c r="J106" s="2"/>
    </row>
    <row r="107" spans="1:10" x14ac:dyDescent="0.3">
      <c r="A107" t="s">
        <v>125</v>
      </c>
      <c r="B107" t="s">
        <v>274</v>
      </c>
      <c r="C107" t="s">
        <v>322</v>
      </c>
      <c r="D107" t="s">
        <v>11</v>
      </c>
      <c r="E107" t="s">
        <v>12</v>
      </c>
      <c r="F107" t="s">
        <v>21</v>
      </c>
      <c r="G107">
        <v>35000</v>
      </c>
      <c r="J107" s="2"/>
    </row>
    <row r="108" spans="1:10" x14ac:dyDescent="0.3">
      <c r="A108" t="s">
        <v>126</v>
      </c>
      <c r="B108" t="s">
        <v>275</v>
      </c>
      <c r="C108" t="s">
        <v>321</v>
      </c>
      <c r="D108" t="s">
        <v>15</v>
      </c>
      <c r="E108" t="s">
        <v>16</v>
      </c>
      <c r="F108" t="s">
        <v>23</v>
      </c>
      <c r="G108">
        <v>40000</v>
      </c>
      <c r="J108" s="2"/>
    </row>
    <row r="109" spans="1:10" x14ac:dyDescent="0.3">
      <c r="A109" t="s">
        <v>127</v>
      </c>
      <c r="B109" t="s">
        <v>276</v>
      </c>
      <c r="C109" t="s">
        <v>322</v>
      </c>
      <c r="D109" t="s">
        <v>19</v>
      </c>
      <c r="E109" t="s">
        <v>20</v>
      </c>
      <c r="F109" t="s">
        <v>25</v>
      </c>
      <c r="G109">
        <v>45000</v>
      </c>
      <c r="J109" s="2"/>
    </row>
    <row r="110" spans="1:10" x14ac:dyDescent="0.3">
      <c r="A110" t="s">
        <v>128</v>
      </c>
      <c r="B110" t="s">
        <v>277</v>
      </c>
      <c r="C110" t="s">
        <v>321</v>
      </c>
      <c r="D110" t="s">
        <v>7</v>
      </c>
      <c r="E110" t="s">
        <v>8</v>
      </c>
      <c r="F110" t="s">
        <v>9</v>
      </c>
      <c r="G110">
        <v>50000</v>
      </c>
      <c r="J110" s="2"/>
    </row>
    <row r="111" spans="1:10" x14ac:dyDescent="0.3">
      <c r="A111" t="s">
        <v>129</v>
      </c>
      <c r="B111" t="s">
        <v>278</v>
      </c>
      <c r="C111" t="s">
        <v>322</v>
      </c>
      <c r="D111" t="s">
        <v>11</v>
      </c>
      <c r="E111" t="s">
        <v>12</v>
      </c>
      <c r="F111" t="s">
        <v>13</v>
      </c>
      <c r="G111">
        <v>55000</v>
      </c>
      <c r="J111" s="2"/>
    </row>
    <row r="112" spans="1:10" x14ac:dyDescent="0.3">
      <c r="A112" t="s">
        <v>130</v>
      </c>
      <c r="B112" t="s">
        <v>279</v>
      </c>
      <c r="C112" t="s">
        <v>321</v>
      </c>
      <c r="D112" t="s">
        <v>15</v>
      </c>
      <c r="E112" t="s">
        <v>16</v>
      </c>
      <c r="F112" t="s">
        <v>17</v>
      </c>
      <c r="G112">
        <v>60000</v>
      </c>
      <c r="J112" s="2"/>
    </row>
    <row r="113" spans="1:10" x14ac:dyDescent="0.3">
      <c r="A113" t="s">
        <v>131</v>
      </c>
      <c r="B113" t="s">
        <v>280</v>
      </c>
      <c r="C113" t="s">
        <v>322</v>
      </c>
      <c r="D113" t="s">
        <v>19</v>
      </c>
      <c r="E113" t="s">
        <v>20</v>
      </c>
      <c r="F113" t="s">
        <v>21</v>
      </c>
      <c r="G113">
        <v>65000</v>
      </c>
      <c r="J113" s="2"/>
    </row>
    <row r="114" spans="1:10" x14ac:dyDescent="0.3">
      <c r="A114" t="s">
        <v>132</v>
      </c>
      <c r="B114" t="s">
        <v>281</v>
      </c>
      <c r="C114" t="s">
        <v>321</v>
      </c>
      <c r="D114" t="s">
        <v>7</v>
      </c>
      <c r="E114" t="s">
        <v>8</v>
      </c>
      <c r="F114" t="s">
        <v>23</v>
      </c>
      <c r="G114">
        <v>70000</v>
      </c>
      <c r="J114" s="2"/>
    </row>
    <row r="115" spans="1:10" x14ac:dyDescent="0.3">
      <c r="A115" t="s">
        <v>133</v>
      </c>
      <c r="B115" t="s">
        <v>282</v>
      </c>
      <c r="C115" t="s">
        <v>322</v>
      </c>
      <c r="D115" t="s">
        <v>11</v>
      </c>
      <c r="E115" t="s">
        <v>12</v>
      </c>
      <c r="F115" t="s">
        <v>25</v>
      </c>
      <c r="G115">
        <v>75000</v>
      </c>
      <c r="J115" s="2"/>
    </row>
    <row r="116" spans="1:10" x14ac:dyDescent="0.3">
      <c r="A116" t="s">
        <v>134</v>
      </c>
      <c r="B116" t="s">
        <v>283</v>
      </c>
      <c r="C116" t="s">
        <v>321</v>
      </c>
      <c r="D116" t="s">
        <v>15</v>
      </c>
      <c r="E116" t="s">
        <v>16</v>
      </c>
      <c r="F116" t="s">
        <v>9</v>
      </c>
      <c r="G116">
        <v>80000</v>
      </c>
      <c r="J116" s="2"/>
    </row>
    <row r="117" spans="1:10" x14ac:dyDescent="0.3">
      <c r="A117" t="s">
        <v>135</v>
      </c>
      <c r="B117" t="s">
        <v>284</v>
      </c>
      <c r="C117" t="s">
        <v>322</v>
      </c>
      <c r="D117" t="s">
        <v>19</v>
      </c>
      <c r="E117" t="s">
        <v>20</v>
      </c>
      <c r="F117" t="s">
        <v>13</v>
      </c>
      <c r="G117">
        <v>85000</v>
      </c>
      <c r="J117" s="2"/>
    </row>
    <row r="118" spans="1:10" x14ac:dyDescent="0.3">
      <c r="A118" t="s">
        <v>136</v>
      </c>
      <c r="B118" t="s">
        <v>285</v>
      </c>
      <c r="C118" t="s">
        <v>321</v>
      </c>
      <c r="D118" t="s">
        <v>7</v>
      </c>
      <c r="E118" t="s">
        <v>8</v>
      </c>
      <c r="F118" t="s">
        <v>17</v>
      </c>
      <c r="G118">
        <v>90000</v>
      </c>
      <c r="J118" s="2"/>
    </row>
    <row r="119" spans="1:10" x14ac:dyDescent="0.3">
      <c r="A119" t="s">
        <v>137</v>
      </c>
      <c r="B119" t="s">
        <v>286</v>
      </c>
      <c r="C119" t="s">
        <v>322</v>
      </c>
      <c r="D119" t="s">
        <v>11</v>
      </c>
      <c r="E119" t="s">
        <v>12</v>
      </c>
      <c r="F119" t="s">
        <v>21</v>
      </c>
      <c r="G119">
        <v>30000</v>
      </c>
      <c r="J119" s="2"/>
    </row>
    <row r="120" spans="1:10" x14ac:dyDescent="0.3">
      <c r="A120" t="s">
        <v>138</v>
      </c>
      <c r="B120" t="s">
        <v>287</v>
      </c>
      <c r="C120" t="s">
        <v>321</v>
      </c>
      <c r="D120" t="s">
        <v>15</v>
      </c>
      <c r="E120" t="s">
        <v>16</v>
      </c>
      <c r="F120" t="s">
        <v>23</v>
      </c>
      <c r="G120">
        <v>35000</v>
      </c>
      <c r="J120" s="2"/>
    </row>
    <row r="121" spans="1:10" x14ac:dyDescent="0.3">
      <c r="A121" t="s">
        <v>139</v>
      </c>
      <c r="B121" t="s">
        <v>288</v>
      </c>
      <c r="C121" t="s">
        <v>322</v>
      </c>
      <c r="D121" t="s">
        <v>19</v>
      </c>
      <c r="E121" t="s">
        <v>20</v>
      </c>
      <c r="F121" t="s">
        <v>25</v>
      </c>
      <c r="G121">
        <v>40000</v>
      </c>
      <c r="J121" s="2"/>
    </row>
    <row r="122" spans="1:10" x14ac:dyDescent="0.3">
      <c r="A122" t="s">
        <v>140</v>
      </c>
      <c r="B122" t="s">
        <v>289</v>
      </c>
      <c r="C122" t="s">
        <v>321</v>
      </c>
      <c r="D122" t="s">
        <v>7</v>
      </c>
      <c r="E122" t="s">
        <v>8</v>
      </c>
      <c r="F122" t="s">
        <v>9</v>
      </c>
      <c r="G122">
        <v>45000</v>
      </c>
      <c r="J122" s="2"/>
    </row>
    <row r="123" spans="1:10" x14ac:dyDescent="0.3">
      <c r="A123" t="s">
        <v>141</v>
      </c>
      <c r="B123" t="s">
        <v>290</v>
      </c>
      <c r="C123" t="s">
        <v>322</v>
      </c>
      <c r="D123" t="s">
        <v>11</v>
      </c>
      <c r="E123" t="s">
        <v>12</v>
      </c>
      <c r="F123" t="s">
        <v>13</v>
      </c>
      <c r="G123">
        <v>50000</v>
      </c>
      <c r="J123" s="2"/>
    </row>
    <row r="124" spans="1:10" x14ac:dyDescent="0.3">
      <c r="A124" t="s">
        <v>142</v>
      </c>
      <c r="B124" t="s">
        <v>291</v>
      </c>
      <c r="C124" t="s">
        <v>321</v>
      </c>
      <c r="D124" t="s">
        <v>15</v>
      </c>
      <c r="E124" t="s">
        <v>16</v>
      </c>
      <c r="F124" t="s">
        <v>17</v>
      </c>
      <c r="G124">
        <v>55000</v>
      </c>
      <c r="J124" s="2"/>
    </row>
    <row r="125" spans="1:10" x14ac:dyDescent="0.3">
      <c r="A125" t="s">
        <v>143</v>
      </c>
      <c r="B125" t="s">
        <v>292</v>
      </c>
      <c r="C125" t="s">
        <v>322</v>
      </c>
      <c r="D125" t="s">
        <v>19</v>
      </c>
      <c r="E125" t="s">
        <v>20</v>
      </c>
      <c r="F125" t="s">
        <v>21</v>
      </c>
      <c r="G125">
        <v>60000</v>
      </c>
      <c r="J125" s="2"/>
    </row>
    <row r="126" spans="1:10" x14ac:dyDescent="0.3">
      <c r="A126" t="s">
        <v>144</v>
      </c>
      <c r="B126" t="s">
        <v>293</v>
      </c>
      <c r="C126" t="s">
        <v>321</v>
      </c>
      <c r="D126" t="s">
        <v>7</v>
      </c>
      <c r="E126" t="s">
        <v>8</v>
      </c>
      <c r="F126" t="s">
        <v>23</v>
      </c>
      <c r="G126">
        <v>65000</v>
      </c>
      <c r="J126" s="2"/>
    </row>
    <row r="127" spans="1:10" x14ac:dyDescent="0.3">
      <c r="A127" t="s">
        <v>145</v>
      </c>
      <c r="B127" t="s">
        <v>294</v>
      </c>
      <c r="C127" t="s">
        <v>322</v>
      </c>
      <c r="D127" t="s">
        <v>11</v>
      </c>
      <c r="E127" t="s">
        <v>12</v>
      </c>
      <c r="F127" t="s">
        <v>25</v>
      </c>
      <c r="G127">
        <v>70000</v>
      </c>
      <c r="J127" s="2"/>
    </row>
    <row r="128" spans="1:10" x14ac:dyDescent="0.3">
      <c r="A128" t="s">
        <v>146</v>
      </c>
      <c r="B128" t="s">
        <v>297</v>
      </c>
      <c r="C128" t="s">
        <v>321</v>
      </c>
      <c r="D128" t="s">
        <v>15</v>
      </c>
      <c r="E128" t="s">
        <v>16</v>
      </c>
      <c r="F128" t="s">
        <v>9</v>
      </c>
      <c r="G128">
        <v>75000</v>
      </c>
      <c r="J128" s="2"/>
    </row>
    <row r="129" spans="1:10" x14ac:dyDescent="0.3">
      <c r="A129" t="s">
        <v>147</v>
      </c>
      <c r="B129" t="s">
        <v>298</v>
      </c>
      <c r="C129" t="s">
        <v>322</v>
      </c>
      <c r="D129" t="s">
        <v>19</v>
      </c>
      <c r="E129" t="s">
        <v>20</v>
      </c>
      <c r="F129" t="s">
        <v>13</v>
      </c>
      <c r="G129">
        <v>80000</v>
      </c>
      <c r="J129" s="2"/>
    </row>
    <row r="130" spans="1:10" x14ac:dyDescent="0.3">
      <c r="A130" t="s">
        <v>148</v>
      </c>
      <c r="B130" t="s">
        <v>299</v>
      </c>
      <c r="C130" t="s">
        <v>321</v>
      </c>
      <c r="D130" t="s">
        <v>7</v>
      </c>
      <c r="E130" t="s">
        <v>8</v>
      </c>
      <c r="F130" t="s">
        <v>17</v>
      </c>
      <c r="G130">
        <v>85000</v>
      </c>
      <c r="J130" s="2"/>
    </row>
    <row r="131" spans="1:10" x14ac:dyDescent="0.3">
      <c r="A131" t="s">
        <v>149</v>
      </c>
      <c r="B131" t="s">
        <v>300</v>
      </c>
      <c r="C131" t="s">
        <v>322</v>
      </c>
      <c r="D131" t="s">
        <v>11</v>
      </c>
      <c r="E131" t="s">
        <v>12</v>
      </c>
      <c r="F131" t="s">
        <v>21</v>
      </c>
      <c r="G131">
        <v>90000</v>
      </c>
      <c r="J131" s="2"/>
    </row>
    <row r="132" spans="1:10" x14ac:dyDescent="0.3">
      <c r="A132" t="s">
        <v>150</v>
      </c>
      <c r="B132" t="s">
        <v>301</v>
      </c>
      <c r="C132" t="s">
        <v>321</v>
      </c>
      <c r="D132" t="s">
        <v>15</v>
      </c>
      <c r="E132" t="s">
        <v>16</v>
      </c>
      <c r="F132" t="s">
        <v>23</v>
      </c>
      <c r="G132">
        <v>30000</v>
      </c>
      <c r="J132" s="2"/>
    </row>
    <row r="133" spans="1:10" x14ac:dyDescent="0.3">
      <c r="A133" t="s">
        <v>151</v>
      </c>
      <c r="B133" t="s">
        <v>302</v>
      </c>
      <c r="C133" t="s">
        <v>322</v>
      </c>
      <c r="D133" t="s">
        <v>19</v>
      </c>
      <c r="E133" t="s">
        <v>20</v>
      </c>
      <c r="F133" t="s">
        <v>25</v>
      </c>
      <c r="G133">
        <v>35000</v>
      </c>
      <c r="J133" s="2"/>
    </row>
    <row r="134" spans="1:10" x14ac:dyDescent="0.3">
      <c r="A134" t="s">
        <v>152</v>
      </c>
      <c r="B134" t="s">
        <v>303</v>
      </c>
      <c r="C134" t="s">
        <v>321</v>
      </c>
      <c r="D134" t="s">
        <v>7</v>
      </c>
      <c r="E134" t="s">
        <v>8</v>
      </c>
      <c r="F134" t="s">
        <v>9</v>
      </c>
      <c r="G134">
        <v>40000</v>
      </c>
      <c r="J134" s="2"/>
    </row>
    <row r="135" spans="1:10" x14ac:dyDescent="0.3">
      <c r="A135" t="s">
        <v>153</v>
      </c>
      <c r="B135" t="s">
        <v>304</v>
      </c>
      <c r="C135" t="s">
        <v>322</v>
      </c>
      <c r="D135" t="s">
        <v>11</v>
      </c>
      <c r="E135" t="s">
        <v>12</v>
      </c>
      <c r="F135" t="s">
        <v>13</v>
      </c>
      <c r="G135">
        <v>45000</v>
      </c>
      <c r="J135" s="2"/>
    </row>
    <row r="136" spans="1:10" x14ac:dyDescent="0.3">
      <c r="A136" t="s">
        <v>154</v>
      </c>
      <c r="B136" t="s">
        <v>305</v>
      </c>
      <c r="C136" t="s">
        <v>321</v>
      </c>
      <c r="D136" t="s">
        <v>15</v>
      </c>
      <c r="E136" t="s">
        <v>16</v>
      </c>
      <c r="F136" t="s">
        <v>17</v>
      </c>
      <c r="G136">
        <v>50000</v>
      </c>
      <c r="J136" s="2"/>
    </row>
    <row r="137" spans="1:10" x14ac:dyDescent="0.3">
      <c r="A137" t="s">
        <v>155</v>
      </c>
      <c r="B137" t="s">
        <v>306</v>
      </c>
      <c r="C137" t="s">
        <v>322</v>
      </c>
      <c r="D137" t="s">
        <v>19</v>
      </c>
      <c r="E137" t="s">
        <v>20</v>
      </c>
      <c r="F137" t="s">
        <v>21</v>
      </c>
      <c r="G137">
        <v>55000</v>
      </c>
      <c r="J137" s="2"/>
    </row>
    <row r="138" spans="1:10" x14ac:dyDescent="0.3">
      <c r="A138" t="s">
        <v>156</v>
      </c>
      <c r="B138" t="s">
        <v>307</v>
      </c>
      <c r="C138" t="s">
        <v>321</v>
      </c>
      <c r="D138" t="s">
        <v>7</v>
      </c>
      <c r="E138" t="s">
        <v>8</v>
      </c>
      <c r="F138" t="s">
        <v>23</v>
      </c>
      <c r="G138">
        <v>60000</v>
      </c>
      <c r="J138" s="2"/>
    </row>
    <row r="139" spans="1:10" x14ac:dyDescent="0.3">
      <c r="A139" t="s">
        <v>157</v>
      </c>
      <c r="B139" t="s">
        <v>308</v>
      </c>
      <c r="C139" t="s">
        <v>322</v>
      </c>
      <c r="D139" t="s">
        <v>11</v>
      </c>
      <c r="E139" t="s">
        <v>12</v>
      </c>
      <c r="F139" t="s">
        <v>25</v>
      </c>
      <c r="G139">
        <v>65000</v>
      </c>
      <c r="J139" s="2"/>
    </row>
    <row r="140" spans="1:10" x14ac:dyDescent="0.3">
      <c r="A140" t="s">
        <v>158</v>
      </c>
      <c r="B140" t="s">
        <v>309</v>
      </c>
      <c r="C140" t="s">
        <v>321</v>
      </c>
      <c r="D140" t="s">
        <v>15</v>
      </c>
      <c r="E140" t="s">
        <v>16</v>
      </c>
      <c r="F140" t="s">
        <v>9</v>
      </c>
      <c r="G140">
        <v>70000</v>
      </c>
      <c r="J140" s="2"/>
    </row>
    <row r="141" spans="1:10" x14ac:dyDescent="0.3">
      <c r="A141" t="s">
        <v>159</v>
      </c>
      <c r="B141" t="s">
        <v>310</v>
      </c>
      <c r="C141" t="s">
        <v>322</v>
      </c>
      <c r="D141" t="s">
        <v>19</v>
      </c>
      <c r="E141" t="s">
        <v>20</v>
      </c>
      <c r="F141" t="s">
        <v>13</v>
      </c>
      <c r="G141">
        <v>75000</v>
      </c>
      <c r="J141" s="2"/>
    </row>
    <row r="142" spans="1:10" x14ac:dyDescent="0.3">
      <c r="A142" t="s">
        <v>160</v>
      </c>
      <c r="B142" t="s">
        <v>311</v>
      </c>
      <c r="C142" t="s">
        <v>321</v>
      </c>
      <c r="D142" t="s">
        <v>7</v>
      </c>
      <c r="E142" t="s">
        <v>8</v>
      </c>
      <c r="F142" t="s">
        <v>17</v>
      </c>
      <c r="G142">
        <v>80000</v>
      </c>
      <c r="J142" s="2"/>
    </row>
    <row r="143" spans="1:10" x14ac:dyDescent="0.3">
      <c r="A143" t="s">
        <v>161</v>
      </c>
      <c r="B143" t="s">
        <v>312</v>
      </c>
      <c r="C143" t="s">
        <v>322</v>
      </c>
      <c r="D143" t="s">
        <v>11</v>
      </c>
      <c r="E143" t="s">
        <v>12</v>
      </c>
      <c r="F143" t="s">
        <v>21</v>
      </c>
      <c r="G143">
        <v>85000</v>
      </c>
      <c r="J143" s="2"/>
    </row>
    <row r="144" spans="1:10" x14ac:dyDescent="0.3">
      <c r="A144" t="s">
        <v>162</v>
      </c>
      <c r="B144" t="s">
        <v>313</v>
      </c>
      <c r="C144" t="s">
        <v>321</v>
      </c>
      <c r="D144" t="s">
        <v>15</v>
      </c>
      <c r="E144" t="s">
        <v>16</v>
      </c>
      <c r="F144" t="s">
        <v>23</v>
      </c>
      <c r="G144">
        <v>90000</v>
      </c>
      <c r="J144" s="2"/>
    </row>
    <row r="145" spans="1:10" x14ac:dyDescent="0.3">
      <c r="A145" t="s">
        <v>163</v>
      </c>
      <c r="B145" t="s">
        <v>314</v>
      </c>
      <c r="C145" t="s">
        <v>322</v>
      </c>
      <c r="D145" t="s">
        <v>19</v>
      </c>
      <c r="E145" t="s">
        <v>20</v>
      </c>
      <c r="F145" t="s">
        <v>25</v>
      </c>
      <c r="G145">
        <v>30000</v>
      </c>
      <c r="J145" s="2"/>
    </row>
    <row r="146" spans="1:10" x14ac:dyDescent="0.3">
      <c r="A146" t="s">
        <v>164</v>
      </c>
      <c r="B146" t="s">
        <v>315</v>
      </c>
      <c r="C146" t="s">
        <v>321</v>
      </c>
      <c r="D146" t="s">
        <v>7</v>
      </c>
      <c r="E146" t="s">
        <v>8</v>
      </c>
      <c r="F146" t="s">
        <v>9</v>
      </c>
      <c r="G146">
        <v>35000</v>
      </c>
      <c r="J146" s="2"/>
    </row>
    <row r="147" spans="1:10" x14ac:dyDescent="0.3">
      <c r="A147" t="s">
        <v>165</v>
      </c>
      <c r="B147" t="s">
        <v>316</v>
      </c>
      <c r="C147" t="s">
        <v>322</v>
      </c>
      <c r="D147" t="s">
        <v>11</v>
      </c>
      <c r="E147" t="s">
        <v>12</v>
      </c>
      <c r="F147" t="s">
        <v>13</v>
      </c>
      <c r="G147">
        <v>40000</v>
      </c>
      <c r="J147" s="2"/>
    </row>
    <row r="148" spans="1:10" x14ac:dyDescent="0.3">
      <c r="A148" t="s">
        <v>166</v>
      </c>
      <c r="B148" t="s">
        <v>317</v>
      </c>
      <c r="C148" t="s">
        <v>321</v>
      </c>
      <c r="D148" t="s">
        <v>15</v>
      </c>
      <c r="E148" t="s">
        <v>16</v>
      </c>
      <c r="F148" t="s">
        <v>17</v>
      </c>
      <c r="G148">
        <v>45000</v>
      </c>
      <c r="J148" s="2"/>
    </row>
    <row r="149" spans="1:10" x14ac:dyDescent="0.3">
      <c r="A149" t="s">
        <v>167</v>
      </c>
      <c r="B149" t="s">
        <v>318</v>
      </c>
      <c r="C149" t="s">
        <v>322</v>
      </c>
      <c r="D149" t="s">
        <v>19</v>
      </c>
      <c r="E149" t="s">
        <v>20</v>
      </c>
      <c r="F149" t="s">
        <v>21</v>
      </c>
      <c r="G149">
        <v>50000</v>
      </c>
      <c r="J149" s="2"/>
    </row>
    <row r="150" spans="1:10" x14ac:dyDescent="0.3">
      <c r="A150" t="s">
        <v>168</v>
      </c>
      <c r="B150" t="s">
        <v>319</v>
      </c>
      <c r="C150" t="s">
        <v>321</v>
      </c>
      <c r="D150" t="s">
        <v>7</v>
      </c>
      <c r="E150" t="s">
        <v>8</v>
      </c>
      <c r="F150" t="s">
        <v>23</v>
      </c>
      <c r="G150">
        <v>55000</v>
      </c>
      <c r="J150" s="2"/>
    </row>
    <row r="151" spans="1:10" x14ac:dyDescent="0.3">
      <c r="A151" t="s">
        <v>169</v>
      </c>
      <c r="B151" t="s">
        <v>320</v>
      </c>
      <c r="C151" t="s">
        <v>322</v>
      </c>
      <c r="D151" t="s">
        <v>11</v>
      </c>
      <c r="E151" t="s">
        <v>12</v>
      </c>
      <c r="F151" t="s">
        <v>25</v>
      </c>
      <c r="G151">
        <v>60000</v>
      </c>
      <c r="J151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workbookViewId="0"/>
  </sheetViews>
  <sheetFormatPr defaultColWidth="19.44140625" defaultRowHeight="14.4" x14ac:dyDescent="0.3"/>
  <cols>
    <col min="6" max="6" width="20.77734375" customWidth="1"/>
    <col min="7" max="7" width="21.77734375" bestFit="1" customWidth="1"/>
  </cols>
  <sheetData>
    <row r="1" spans="1:7" s="7" customFormat="1" ht="16.95" customHeight="1" x14ac:dyDescent="0.35">
      <c r="A1" s="4" t="s">
        <v>323</v>
      </c>
      <c r="B1" s="4" t="s">
        <v>324</v>
      </c>
      <c r="C1" s="5" t="s">
        <v>5</v>
      </c>
      <c r="D1" s="4" t="s">
        <v>325</v>
      </c>
      <c r="E1" s="5" t="s">
        <v>326</v>
      </c>
      <c r="F1" s="5" t="s">
        <v>327</v>
      </c>
      <c r="G1" s="8" t="s">
        <v>328</v>
      </c>
    </row>
    <row r="2" spans="1:7" x14ac:dyDescent="0.3">
      <c r="A2">
        <v>0</v>
      </c>
      <c r="B2">
        <v>9999</v>
      </c>
      <c r="C2">
        <v>30000</v>
      </c>
      <c r="D2" s="2">
        <v>0.02</v>
      </c>
      <c r="E2">
        <f>C2*D2</f>
        <v>600</v>
      </c>
      <c r="F2">
        <f>VLOOKUP(C2, Incentive_Master!A:C, 3, TRUE)</f>
        <v>45000</v>
      </c>
      <c r="G2" s="6">
        <f>_xlfn.XLOOKUP(C2, Incentive_Master!A:A, Incentive_Master!D:D,"", 1)</f>
        <v>0.03</v>
      </c>
    </row>
    <row r="3" spans="1:7" x14ac:dyDescent="0.3">
      <c r="A3">
        <v>10000</v>
      </c>
      <c r="B3">
        <v>19999</v>
      </c>
      <c r="C3">
        <v>35000</v>
      </c>
      <c r="D3" s="2">
        <v>0.02</v>
      </c>
      <c r="E3">
        <f t="shared" ref="E3:E66" si="0">C3*D3</f>
        <v>700</v>
      </c>
      <c r="F3">
        <f>VLOOKUP(C3, Incentive_Master!A:C, 3, TRUE)</f>
        <v>45000</v>
      </c>
      <c r="G3" s="6">
        <f>_xlfn.XLOOKUP(C3, Incentive_Master!A:A, Incentive_Master!D:D,"", 1)</f>
        <v>0.03</v>
      </c>
    </row>
    <row r="4" spans="1:7" x14ac:dyDescent="0.3">
      <c r="A4">
        <v>20000</v>
      </c>
      <c r="B4">
        <v>29999</v>
      </c>
      <c r="C4">
        <v>40000</v>
      </c>
      <c r="D4" s="2">
        <v>0.02</v>
      </c>
      <c r="E4">
        <f t="shared" si="0"/>
        <v>800</v>
      </c>
      <c r="F4">
        <f>VLOOKUP(C4, Incentive_Master!A:C, 3, TRUE)</f>
        <v>50000</v>
      </c>
      <c r="G4" s="6">
        <f>_xlfn.XLOOKUP(C4, Incentive_Master!A:A, Incentive_Master!D:D,"", 1)</f>
        <v>0.03</v>
      </c>
    </row>
    <row r="5" spans="1:7" x14ac:dyDescent="0.3">
      <c r="A5">
        <v>30000</v>
      </c>
      <c r="B5">
        <v>39999</v>
      </c>
      <c r="C5">
        <v>45000</v>
      </c>
      <c r="D5" s="2">
        <v>0.03</v>
      </c>
      <c r="E5">
        <f t="shared" si="0"/>
        <v>1350</v>
      </c>
      <c r="F5">
        <f>VLOOKUP(C5, Incentive_Master!A:C, 3, TRUE)</f>
        <v>50000</v>
      </c>
      <c r="G5" s="6">
        <f>_xlfn.XLOOKUP(C5, Incentive_Master!A:A, Incentive_Master!D:D,"", 1)</f>
        <v>0.04</v>
      </c>
    </row>
    <row r="6" spans="1:7" x14ac:dyDescent="0.3">
      <c r="A6">
        <v>40000</v>
      </c>
      <c r="B6">
        <v>49999</v>
      </c>
      <c r="C6">
        <v>50000</v>
      </c>
      <c r="D6" s="2">
        <v>0.03</v>
      </c>
      <c r="E6">
        <f t="shared" si="0"/>
        <v>1500</v>
      </c>
      <c r="F6">
        <f>VLOOKUP(C6, Incentive_Master!A:C, 3, TRUE)</f>
        <v>55000</v>
      </c>
      <c r="G6" s="6">
        <f>_xlfn.XLOOKUP(C6, Incentive_Master!A:A, Incentive_Master!D:D,"", 1)</f>
        <v>0.04</v>
      </c>
    </row>
    <row r="7" spans="1:7" x14ac:dyDescent="0.3">
      <c r="A7">
        <v>50000</v>
      </c>
      <c r="B7">
        <v>59999</v>
      </c>
      <c r="C7">
        <v>55000</v>
      </c>
      <c r="D7" s="2">
        <v>0.04</v>
      </c>
      <c r="E7">
        <f t="shared" si="0"/>
        <v>2200</v>
      </c>
      <c r="F7">
        <f>VLOOKUP(C7, Incentive_Master!A:C, 3, TRUE)</f>
        <v>55000</v>
      </c>
      <c r="G7" s="6">
        <f>_xlfn.XLOOKUP(C7, Incentive_Master!A:A, Incentive_Master!D:D,"", 1)</f>
        <v>0.04</v>
      </c>
    </row>
    <row r="8" spans="1:7" x14ac:dyDescent="0.3">
      <c r="A8">
        <v>60000</v>
      </c>
      <c r="B8">
        <v>69999</v>
      </c>
      <c r="C8">
        <v>60000</v>
      </c>
      <c r="D8" s="2">
        <v>0.04</v>
      </c>
      <c r="E8">
        <f t="shared" si="0"/>
        <v>2400</v>
      </c>
      <c r="F8">
        <f>VLOOKUP(C8, Incentive_Master!A:C, 3, TRUE)</f>
        <v>60000</v>
      </c>
      <c r="G8" s="6">
        <f>_xlfn.XLOOKUP(C8, Incentive_Master!A:A, Incentive_Master!D:D,"", 1)</f>
        <v>0.04</v>
      </c>
    </row>
    <row r="9" spans="1:7" x14ac:dyDescent="0.3">
      <c r="A9">
        <v>70000</v>
      </c>
      <c r="B9">
        <v>79999</v>
      </c>
      <c r="C9">
        <v>65000</v>
      </c>
      <c r="D9" s="2">
        <v>0.05</v>
      </c>
      <c r="E9">
        <f t="shared" si="0"/>
        <v>3250</v>
      </c>
      <c r="F9">
        <f>VLOOKUP(C9, Incentive_Master!A:C, 3, TRUE)</f>
        <v>60000</v>
      </c>
      <c r="G9" s="6">
        <f>_xlfn.XLOOKUP(C9, Incentive_Master!A:A, Incentive_Master!D:D,"", 1)</f>
        <v>0.05</v>
      </c>
    </row>
    <row r="10" spans="1:7" x14ac:dyDescent="0.3">
      <c r="A10">
        <v>80000</v>
      </c>
      <c r="B10">
        <v>89999</v>
      </c>
      <c r="C10">
        <v>70000</v>
      </c>
      <c r="D10" s="2">
        <v>0.05</v>
      </c>
      <c r="E10">
        <f t="shared" si="0"/>
        <v>3500</v>
      </c>
      <c r="F10">
        <f>VLOOKUP(C10, Incentive_Master!A:C, 3, TRUE)</f>
        <v>65000</v>
      </c>
      <c r="G10" s="6">
        <f>_xlfn.XLOOKUP(C10, Incentive_Master!A:A, Incentive_Master!D:D,"", 1)</f>
        <v>0.05</v>
      </c>
    </row>
    <row r="11" spans="1:7" x14ac:dyDescent="0.3">
      <c r="A11">
        <v>90000</v>
      </c>
      <c r="B11">
        <v>99999</v>
      </c>
      <c r="C11">
        <v>75000</v>
      </c>
      <c r="D11" s="2">
        <v>0.06</v>
      </c>
      <c r="E11">
        <f t="shared" si="0"/>
        <v>4500</v>
      </c>
      <c r="F11">
        <f>VLOOKUP(C11, Incentive_Master!A:C, 3, TRUE)</f>
        <v>65000</v>
      </c>
      <c r="G11" s="6">
        <f>_xlfn.XLOOKUP(C11, Incentive_Master!A:A, Incentive_Master!D:D,"", 1)</f>
        <v>0.05</v>
      </c>
    </row>
    <row r="12" spans="1:7" x14ac:dyDescent="0.3">
      <c r="A12">
        <v>100000</v>
      </c>
      <c r="B12">
        <v>109999</v>
      </c>
      <c r="C12">
        <v>80000</v>
      </c>
      <c r="D12" s="2">
        <v>0.06</v>
      </c>
      <c r="E12">
        <f t="shared" si="0"/>
        <v>4800</v>
      </c>
      <c r="F12">
        <f>VLOOKUP(C12, Incentive_Master!A:C, 3, TRUE)</f>
        <v>70000</v>
      </c>
      <c r="G12" s="6">
        <f>_xlfn.XLOOKUP(C12, Incentive_Master!A:A, Incentive_Master!D:D,"", 1)</f>
        <v>0.05</v>
      </c>
    </row>
    <row r="13" spans="1:7" x14ac:dyDescent="0.3">
      <c r="A13">
        <v>110000</v>
      </c>
      <c r="B13">
        <v>119999</v>
      </c>
      <c r="C13">
        <v>85000</v>
      </c>
      <c r="D13" s="2">
        <v>7.0000000000000007E-2</v>
      </c>
      <c r="E13">
        <f t="shared" si="0"/>
        <v>5950.0000000000009</v>
      </c>
      <c r="F13">
        <f>VLOOKUP(C13, Incentive_Master!A:C, 3, TRUE)</f>
        <v>70000</v>
      </c>
      <c r="G13" s="6">
        <f>_xlfn.XLOOKUP(C13, Incentive_Master!A:A, Incentive_Master!D:D,"", 1)</f>
        <v>0.06</v>
      </c>
    </row>
    <row r="14" spans="1:7" x14ac:dyDescent="0.3">
      <c r="A14">
        <v>120000</v>
      </c>
      <c r="B14">
        <v>129999</v>
      </c>
      <c r="C14">
        <v>90000</v>
      </c>
      <c r="D14" s="2">
        <v>7.0000000000000007E-2</v>
      </c>
      <c r="E14">
        <f t="shared" si="0"/>
        <v>6300.0000000000009</v>
      </c>
      <c r="F14">
        <f>VLOOKUP(C14, Incentive_Master!A:C, 3, TRUE)</f>
        <v>75000</v>
      </c>
      <c r="G14" s="6">
        <f>_xlfn.XLOOKUP(C14, Incentive_Master!A:A, Incentive_Master!D:D,"", 1)</f>
        <v>0.06</v>
      </c>
    </row>
    <row r="15" spans="1:7" x14ac:dyDescent="0.3">
      <c r="A15">
        <v>130000</v>
      </c>
      <c r="B15">
        <v>139999</v>
      </c>
      <c r="C15">
        <v>30000</v>
      </c>
      <c r="D15" s="2">
        <v>0.08</v>
      </c>
      <c r="E15">
        <f t="shared" si="0"/>
        <v>2400</v>
      </c>
      <c r="F15">
        <f>VLOOKUP(C15, Incentive_Master!A:C, 3, TRUE)</f>
        <v>45000</v>
      </c>
      <c r="G15" s="6">
        <f>_xlfn.XLOOKUP(C15, Incentive_Master!A:A, Incentive_Master!D:D,"", 1)</f>
        <v>0.03</v>
      </c>
    </row>
    <row r="16" spans="1:7" x14ac:dyDescent="0.3">
      <c r="A16">
        <v>140000</v>
      </c>
      <c r="B16">
        <v>149999</v>
      </c>
      <c r="C16">
        <v>35000</v>
      </c>
      <c r="D16" s="2">
        <v>0.08</v>
      </c>
      <c r="E16">
        <f t="shared" si="0"/>
        <v>2800</v>
      </c>
      <c r="F16">
        <f>VLOOKUP(C16, Incentive_Master!A:C, 3, TRUE)</f>
        <v>45000</v>
      </c>
      <c r="G16" s="6">
        <f>_xlfn.XLOOKUP(C16, Incentive_Master!A:A, Incentive_Master!D:D,"", 1)</f>
        <v>0.03</v>
      </c>
    </row>
    <row r="17" spans="1:7" x14ac:dyDescent="0.3">
      <c r="A17">
        <v>150000</v>
      </c>
      <c r="B17">
        <v>159999</v>
      </c>
      <c r="C17">
        <v>40000</v>
      </c>
      <c r="D17" s="2">
        <v>0.09</v>
      </c>
      <c r="E17">
        <f t="shared" si="0"/>
        <v>3600</v>
      </c>
      <c r="F17">
        <f>VLOOKUP(C17, Incentive_Master!A:C, 3, TRUE)</f>
        <v>50000</v>
      </c>
      <c r="G17" s="6">
        <f>_xlfn.XLOOKUP(C17, Incentive_Master!A:A, Incentive_Master!D:D,"", 1)</f>
        <v>0.03</v>
      </c>
    </row>
    <row r="18" spans="1:7" x14ac:dyDescent="0.3">
      <c r="A18">
        <v>160000</v>
      </c>
      <c r="B18">
        <v>169999</v>
      </c>
      <c r="C18">
        <v>45000</v>
      </c>
      <c r="D18" s="2">
        <v>0.09</v>
      </c>
      <c r="E18">
        <f t="shared" si="0"/>
        <v>4050</v>
      </c>
      <c r="F18">
        <f>VLOOKUP(C18, Incentive_Master!A:C, 3, TRUE)</f>
        <v>50000</v>
      </c>
      <c r="G18" s="6">
        <f>_xlfn.XLOOKUP(C18, Incentive_Master!A:A, Incentive_Master!D:D,"", 1)</f>
        <v>0.04</v>
      </c>
    </row>
    <row r="19" spans="1:7" x14ac:dyDescent="0.3">
      <c r="A19">
        <v>170000</v>
      </c>
      <c r="B19">
        <v>179999</v>
      </c>
      <c r="C19">
        <v>50000</v>
      </c>
      <c r="D19" s="2">
        <v>0.1</v>
      </c>
      <c r="E19">
        <f t="shared" si="0"/>
        <v>5000</v>
      </c>
      <c r="F19">
        <f>VLOOKUP(C19, Incentive_Master!A:C, 3, TRUE)</f>
        <v>55000</v>
      </c>
      <c r="G19" s="6">
        <f>_xlfn.XLOOKUP(C19, Incentive_Master!A:A, Incentive_Master!D:D,"", 1)</f>
        <v>0.04</v>
      </c>
    </row>
    <row r="20" spans="1:7" x14ac:dyDescent="0.3">
      <c r="A20">
        <v>180000</v>
      </c>
      <c r="B20">
        <v>189999</v>
      </c>
      <c r="C20">
        <v>55000</v>
      </c>
      <c r="D20" s="2">
        <v>0.1</v>
      </c>
      <c r="E20">
        <f t="shared" si="0"/>
        <v>5500</v>
      </c>
      <c r="F20">
        <f>VLOOKUP(C20, Incentive_Master!A:C, 3, TRUE)</f>
        <v>55000</v>
      </c>
      <c r="G20" s="6">
        <f>_xlfn.XLOOKUP(C20, Incentive_Master!A:A, Incentive_Master!D:D,"", 1)</f>
        <v>0.04</v>
      </c>
    </row>
    <row r="21" spans="1:7" x14ac:dyDescent="0.3">
      <c r="A21">
        <v>190000</v>
      </c>
      <c r="B21">
        <v>199999</v>
      </c>
      <c r="C21">
        <v>60000</v>
      </c>
      <c r="D21" s="2">
        <v>0.11</v>
      </c>
      <c r="E21">
        <f t="shared" si="0"/>
        <v>6600</v>
      </c>
      <c r="F21">
        <f>VLOOKUP(C21, Incentive_Master!A:C, 3, TRUE)</f>
        <v>60000</v>
      </c>
      <c r="G21" s="6">
        <f>_xlfn.XLOOKUP(C21, Incentive_Master!A:A, Incentive_Master!D:D,"", 1)</f>
        <v>0.04</v>
      </c>
    </row>
    <row r="22" spans="1:7" x14ac:dyDescent="0.3">
      <c r="A22">
        <v>200000</v>
      </c>
      <c r="B22">
        <v>209999</v>
      </c>
      <c r="C22">
        <v>65000</v>
      </c>
      <c r="D22" s="2">
        <v>0.11</v>
      </c>
      <c r="E22">
        <f t="shared" si="0"/>
        <v>7150</v>
      </c>
      <c r="F22">
        <f>VLOOKUP(C22, Incentive_Master!A:C, 3, TRUE)</f>
        <v>60000</v>
      </c>
      <c r="G22" s="6">
        <f>_xlfn.XLOOKUP(C22, Incentive_Master!A:A, Incentive_Master!D:D,"", 1)</f>
        <v>0.05</v>
      </c>
    </row>
    <row r="23" spans="1:7" x14ac:dyDescent="0.3">
      <c r="A23">
        <v>210000</v>
      </c>
      <c r="B23">
        <v>219999</v>
      </c>
      <c r="C23">
        <v>70000</v>
      </c>
      <c r="D23" s="2">
        <v>0.12</v>
      </c>
      <c r="E23">
        <f t="shared" si="0"/>
        <v>8400</v>
      </c>
      <c r="F23">
        <f>VLOOKUP(C23, Incentive_Master!A:C, 3, TRUE)</f>
        <v>65000</v>
      </c>
      <c r="G23" s="6">
        <f>_xlfn.XLOOKUP(C23, Incentive_Master!A:A, Incentive_Master!D:D,"", 1)</f>
        <v>0.05</v>
      </c>
    </row>
    <row r="24" spans="1:7" x14ac:dyDescent="0.3">
      <c r="A24">
        <v>220000</v>
      </c>
      <c r="B24">
        <v>229999</v>
      </c>
      <c r="C24">
        <v>75000</v>
      </c>
      <c r="D24" s="2">
        <v>0.12</v>
      </c>
      <c r="E24">
        <f t="shared" si="0"/>
        <v>9000</v>
      </c>
      <c r="F24">
        <f>VLOOKUP(C24, Incentive_Master!A:C, 3, TRUE)</f>
        <v>65000</v>
      </c>
      <c r="G24" s="6">
        <f>_xlfn.XLOOKUP(C24, Incentive_Master!A:A, Incentive_Master!D:D,"", 1)</f>
        <v>0.05</v>
      </c>
    </row>
    <row r="25" spans="1:7" x14ac:dyDescent="0.3">
      <c r="A25">
        <v>230000</v>
      </c>
      <c r="B25">
        <v>239999</v>
      </c>
      <c r="C25">
        <v>80000</v>
      </c>
      <c r="D25" s="2">
        <v>0.13</v>
      </c>
      <c r="E25">
        <f t="shared" si="0"/>
        <v>10400</v>
      </c>
      <c r="F25">
        <f>VLOOKUP(C25, Incentive_Master!A:C, 3, TRUE)</f>
        <v>70000</v>
      </c>
      <c r="G25" s="6">
        <f>_xlfn.XLOOKUP(C25, Incentive_Master!A:A, Incentive_Master!D:D,"", 1)</f>
        <v>0.05</v>
      </c>
    </row>
    <row r="26" spans="1:7" x14ac:dyDescent="0.3">
      <c r="A26">
        <v>240000</v>
      </c>
      <c r="B26">
        <v>249999</v>
      </c>
      <c r="C26">
        <v>85000</v>
      </c>
      <c r="D26" s="2">
        <v>0.13</v>
      </c>
      <c r="E26">
        <f t="shared" si="0"/>
        <v>11050</v>
      </c>
      <c r="F26">
        <f>VLOOKUP(C26, Incentive_Master!A:C, 3, TRUE)</f>
        <v>70000</v>
      </c>
      <c r="G26" s="6">
        <f>_xlfn.XLOOKUP(C26, Incentive_Master!A:A, Incentive_Master!D:D,"", 1)</f>
        <v>0.06</v>
      </c>
    </row>
    <row r="27" spans="1:7" x14ac:dyDescent="0.3">
      <c r="A27">
        <v>250000</v>
      </c>
      <c r="B27">
        <v>259999</v>
      </c>
      <c r="C27">
        <v>90000</v>
      </c>
      <c r="D27" s="2">
        <v>0.14000000000000001</v>
      </c>
      <c r="E27">
        <f t="shared" si="0"/>
        <v>12600.000000000002</v>
      </c>
      <c r="F27">
        <f>VLOOKUP(C27, Incentive_Master!A:C, 3, TRUE)</f>
        <v>75000</v>
      </c>
      <c r="G27" s="6">
        <f>_xlfn.XLOOKUP(C27, Incentive_Master!A:A, Incentive_Master!D:D,"", 1)</f>
        <v>0.06</v>
      </c>
    </row>
    <row r="28" spans="1:7" x14ac:dyDescent="0.3">
      <c r="A28">
        <v>260000</v>
      </c>
      <c r="B28">
        <v>269999</v>
      </c>
      <c r="C28">
        <v>30000</v>
      </c>
      <c r="D28" s="2">
        <v>0.14000000000000001</v>
      </c>
      <c r="E28">
        <f t="shared" si="0"/>
        <v>4200</v>
      </c>
      <c r="F28">
        <f>VLOOKUP(C28, Incentive_Master!A:C, 3, TRUE)</f>
        <v>45000</v>
      </c>
      <c r="G28" s="6">
        <f>_xlfn.XLOOKUP(C28, Incentive_Master!A:A, Incentive_Master!D:D,"", 1)</f>
        <v>0.03</v>
      </c>
    </row>
    <row r="29" spans="1:7" x14ac:dyDescent="0.3">
      <c r="A29">
        <v>270000</v>
      </c>
      <c r="B29">
        <v>279999</v>
      </c>
      <c r="C29">
        <v>35000</v>
      </c>
      <c r="D29" s="2">
        <v>0.15</v>
      </c>
      <c r="E29">
        <f t="shared" si="0"/>
        <v>5250</v>
      </c>
      <c r="F29">
        <f>VLOOKUP(C29, Incentive_Master!A:C, 3, TRUE)</f>
        <v>45000</v>
      </c>
      <c r="G29" s="6">
        <f>_xlfn.XLOOKUP(C29, Incentive_Master!A:A, Incentive_Master!D:D,"", 1)</f>
        <v>0.03</v>
      </c>
    </row>
    <row r="30" spans="1:7" x14ac:dyDescent="0.3">
      <c r="A30">
        <v>280000</v>
      </c>
      <c r="B30">
        <v>289999</v>
      </c>
      <c r="C30">
        <v>40000</v>
      </c>
      <c r="D30" s="2">
        <v>0.15</v>
      </c>
      <c r="E30">
        <f t="shared" si="0"/>
        <v>6000</v>
      </c>
      <c r="F30">
        <f>VLOOKUP(C30, Incentive_Master!A:C, 3, TRUE)</f>
        <v>50000</v>
      </c>
      <c r="G30" s="6">
        <f>_xlfn.XLOOKUP(C30, Incentive_Master!A:A, Incentive_Master!D:D,"", 1)</f>
        <v>0.03</v>
      </c>
    </row>
    <row r="31" spans="1:7" x14ac:dyDescent="0.3">
      <c r="A31">
        <v>290000</v>
      </c>
      <c r="B31">
        <v>299999</v>
      </c>
      <c r="C31">
        <v>45000</v>
      </c>
      <c r="D31" s="2">
        <v>0.16</v>
      </c>
      <c r="E31">
        <f t="shared" si="0"/>
        <v>7200</v>
      </c>
      <c r="F31">
        <f>VLOOKUP(C31, Incentive_Master!A:C, 3, TRUE)</f>
        <v>50000</v>
      </c>
      <c r="G31" s="6">
        <f>_xlfn.XLOOKUP(C31, Incentive_Master!A:A, Incentive_Master!D:D,"", 1)</f>
        <v>0.04</v>
      </c>
    </row>
    <row r="32" spans="1:7" x14ac:dyDescent="0.3">
      <c r="A32">
        <v>300000</v>
      </c>
      <c r="B32">
        <v>309999</v>
      </c>
      <c r="C32">
        <v>50000</v>
      </c>
      <c r="D32" s="2">
        <v>0.16</v>
      </c>
      <c r="E32">
        <f t="shared" si="0"/>
        <v>8000</v>
      </c>
      <c r="F32">
        <f>VLOOKUP(C32, Incentive_Master!A:C, 3, TRUE)</f>
        <v>55000</v>
      </c>
      <c r="G32" s="6">
        <f>_xlfn.XLOOKUP(C32, Incentive_Master!A:A, Incentive_Master!D:D,"", 1)</f>
        <v>0.04</v>
      </c>
    </row>
    <row r="33" spans="1:7" x14ac:dyDescent="0.3">
      <c r="A33">
        <v>310000</v>
      </c>
      <c r="B33">
        <v>319999</v>
      </c>
      <c r="C33">
        <v>55000</v>
      </c>
      <c r="D33" s="2">
        <v>0.17</v>
      </c>
      <c r="E33">
        <f t="shared" si="0"/>
        <v>9350</v>
      </c>
      <c r="F33">
        <f>VLOOKUP(C33, Incentive_Master!A:C, 3, TRUE)</f>
        <v>55000</v>
      </c>
      <c r="G33" s="6">
        <f>_xlfn.XLOOKUP(C33, Incentive_Master!A:A, Incentive_Master!D:D,"", 1)</f>
        <v>0.04</v>
      </c>
    </row>
    <row r="34" spans="1:7" x14ac:dyDescent="0.3">
      <c r="A34">
        <v>320000</v>
      </c>
      <c r="B34">
        <v>329999</v>
      </c>
      <c r="C34">
        <v>60000</v>
      </c>
      <c r="D34" s="2">
        <v>0.17</v>
      </c>
      <c r="E34">
        <f t="shared" si="0"/>
        <v>10200</v>
      </c>
      <c r="F34">
        <f>VLOOKUP(C34, Incentive_Master!A:C, 3, TRUE)</f>
        <v>60000</v>
      </c>
      <c r="G34" s="6">
        <f>_xlfn.XLOOKUP(C34, Incentive_Master!A:A, Incentive_Master!D:D,"", 1)</f>
        <v>0.04</v>
      </c>
    </row>
    <row r="35" spans="1:7" x14ac:dyDescent="0.3">
      <c r="A35">
        <v>330000</v>
      </c>
      <c r="B35">
        <v>339999</v>
      </c>
      <c r="C35">
        <v>65000</v>
      </c>
      <c r="D35" s="2">
        <v>0.18</v>
      </c>
      <c r="E35">
        <f t="shared" si="0"/>
        <v>11700</v>
      </c>
      <c r="F35">
        <f>VLOOKUP(C35, Incentive_Master!A:C, 3, TRUE)</f>
        <v>60000</v>
      </c>
      <c r="G35" s="6">
        <f>_xlfn.XLOOKUP(C35, Incentive_Master!A:A, Incentive_Master!D:D,"", 1)</f>
        <v>0.05</v>
      </c>
    </row>
    <row r="36" spans="1:7" x14ac:dyDescent="0.3">
      <c r="A36">
        <v>340000</v>
      </c>
      <c r="B36">
        <v>349999</v>
      </c>
      <c r="C36">
        <v>70000</v>
      </c>
      <c r="D36" s="2">
        <v>0.18</v>
      </c>
      <c r="E36">
        <f t="shared" si="0"/>
        <v>12600</v>
      </c>
      <c r="F36">
        <f>VLOOKUP(C36, Incentive_Master!A:C, 3, TRUE)</f>
        <v>65000</v>
      </c>
      <c r="G36" s="6">
        <f>_xlfn.XLOOKUP(C36, Incentive_Master!A:A, Incentive_Master!D:D,"", 1)</f>
        <v>0.05</v>
      </c>
    </row>
    <row r="37" spans="1:7" x14ac:dyDescent="0.3">
      <c r="A37">
        <v>350000</v>
      </c>
      <c r="B37">
        <v>359999</v>
      </c>
      <c r="C37">
        <v>75000</v>
      </c>
      <c r="D37" s="2">
        <v>0.19</v>
      </c>
      <c r="E37">
        <f t="shared" si="0"/>
        <v>14250</v>
      </c>
      <c r="F37">
        <f>VLOOKUP(C37, Incentive_Master!A:C, 3, TRUE)</f>
        <v>65000</v>
      </c>
      <c r="G37" s="6">
        <f>_xlfn.XLOOKUP(C37, Incentive_Master!A:A, Incentive_Master!D:D,"", 1)</f>
        <v>0.05</v>
      </c>
    </row>
    <row r="38" spans="1:7" x14ac:dyDescent="0.3">
      <c r="A38">
        <v>360000</v>
      </c>
      <c r="B38">
        <v>369999</v>
      </c>
      <c r="C38">
        <v>80000</v>
      </c>
      <c r="D38" s="2">
        <v>0.19</v>
      </c>
      <c r="E38">
        <f t="shared" si="0"/>
        <v>15200</v>
      </c>
      <c r="F38">
        <f>VLOOKUP(C38, Incentive_Master!A:C, 3, TRUE)</f>
        <v>70000</v>
      </c>
      <c r="G38" s="6">
        <f>_xlfn.XLOOKUP(C38, Incentive_Master!A:A, Incentive_Master!D:D,"", 1)</f>
        <v>0.05</v>
      </c>
    </row>
    <row r="39" spans="1:7" x14ac:dyDescent="0.3">
      <c r="A39">
        <v>370000</v>
      </c>
      <c r="B39">
        <v>379999</v>
      </c>
      <c r="C39">
        <v>85000</v>
      </c>
      <c r="D39" s="2">
        <v>0.2</v>
      </c>
      <c r="E39">
        <f t="shared" si="0"/>
        <v>17000</v>
      </c>
      <c r="F39">
        <f>VLOOKUP(C39, Incentive_Master!A:C, 3, TRUE)</f>
        <v>70000</v>
      </c>
      <c r="G39" s="6">
        <f>_xlfn.XLOOKUP(C39, Incentive_Master!A:A, Incentive_Master!D:D,"", 1)</f>
        <v>0.06</v>
      </c>
    </row>
    <row r="40" spans="1:7" x14ac:dyDescent="0.3">
      <c r="A40">
        <v>380000</v>
      </c>
      <c r="B40">
        <v>389999</v>
      </c>
      <c r="C40">
        <v>90000</v>
      </c>
      <c r="D40" s="2">
        <v>0.2</v>
      </c>
      <c r="E40">
        <f t="shared" si="0"/>
        <v>18000</v>
      </c>
      <c r="F40">
        <f>VLOOKUP(C40, Incentive_Master!A:C, 3, TRUE)</f>
        <v>75000</v>
      </c>
      <c r="G40" s="6">
        <f>_xlfn.XLOOKUP(C40, Incentive_Master!A:A, Incentive_Master!D:D,"", 1)</f>
        <v>0.06</v>
      </c>
    </row>
    <row r="41" spans="1:7" x14ac:dyDescent="0.3">
      <c r="A41">
        <v>390000</v>
      </c>
      <c r="B41">
        <v>399999</v>
      </c>
      <c r="C41">
        <v>30000</v>
      </c>
      <c r="D41" s="2">
        <v>0.21</v>
      </c>
      <c r="E41">
        <f t="shared" si="0"/>
        <v>6300</v>
      </c>
      <c r="F41">
        <f>VLOOKUP(C41, Incentive_Master!A:C, 3, TRUE)</f>
        <v>45000</v>
      </c>
      <c r="G41" s="6">
        <f>_xlfn.XLOOKUP(C41, Incentive_Master!A:A, Incentive_Master!D:D,"", 1)</f>
        <v>0.03</v>
      </c>
    </row>
    <row r="42" spans="1:7" x14ac:dyDescent="0.3">
      <c r="A42">
        <v>400000</v>
      </c>
      <c r="B42">
        <v>409999</v>
      </c>
      <c r="C42">
        <v>35000</v>
      </c>
      <c r="D42" s="2">
        <v>0.21</v>
      </c>
      <c r="E42">
        <f t="shared" si="0"/>
        <v>7350</v>
      </c>
      <c r="F42">
        <f>VLOOKUP(C42, Incentive_Master!A:C, 3, TRUE)</f>
        <v>45000</v>
      </c>
      <c r="G42" s="6">
        <f>_xlfn.XLOOKUP(C42, Incentive_Master!A:A, Incentive_Master!D:D,"", 1)</f>
        <v>0.03</v>
      </c>
    </row>
    <row r="43" spans="1:7" x14ac:dyDescent="0.3">
      <c r="A43">
        <v>410000</v>
      </c>
      <c r="B43">
        <v>419999</v>
      </c>
      <c r="C43">
        <v>40000</v>
      </c>
      <c r="D43" s="2">
        <v>0.22</v>
      </c>
      <c r="E43">
        <f t="shared" si="0"/>
        <v>8800</v>
      </c>
      <c r="F43">
        <f>VLOOKUP(C43, Incentive_Master!A:C, 3, TRUE)</f>
        <v>50000</v>
      </c>
      <c r="G43" s="6">
        <f>_xlfn.XLOOKUP(C43, Incentive_Master!A:A, Incentive_Master!D:D,"", 1)</f>
        <v>0.03</v>
      </c>
    </row>
    <row r="44" spans="1:7" x14ac:dyDescent="0.3">
      <c r="A44">
        <v>420000</v>
      </c>
      <c r="B44">
        <v>429999</v>
      </c>
      <c r="C44">
        <v>45000</v>
      </c>
      <c r="D44" s="2">
        <v>0.22</v>
      </c>
      <c r="E44">
        <f t="shared" si="0"/>
        <v>9900</v>
      </c>
      <c r="F44">
        <f>VLOOKUP(C44, Incentive_Master!A:C, 3, TRUE)</f>
        <v>50000</v>
      </c>
      <c r="G44" s="6">
        <f>_xlfn.XLOOKUP(C44, Incentive_Master!A:A, Incentive_Master!D:D,"", 1)</f>
        <v>0.04</v>
      </c>
    </row>
    <row r="45" spans="1:7" x14ac:dyDescent="0.3">
      <c r="A45">
        <v>430000</v>
      </c>
      <c r="B45">
        <v>439999</v>
      </c>
      <c r="C45">
        <v>50000</v>
      </c>
      <c r="D45" s="2">
        <v>0.23</v>
      </c>
      <c r="E45">
        <f t="shared" si="0"/>
        <v>11500</v>
      </c>
      <c r="F45">
        <f>VLOOKUP(C45, Incentive_Master!A:C, 3, TRUE)</f>
        <v>55000</v>
      </c>
      <c r="G45" s="6">
        <f>_xlfn.XLOOKUP(C45, Incentive_Master!A:A, Incentive_Master!D:D,"", 1)</f>
        <v>0.04</v>
      </c>
    </row>
    <row r="46" spans="1:7" x14ac:dyDescent="0.3">
      <c r="A46">
        <v>440000</v>
      </c>
      <c r="B46">
        <v>449999</v>
      </c>
      <c r="C46">
        <v>55000</v>
      </c>
      <c r="D46" s="2">
        <v>0.23</v>
      </c>
      <c r="E46">
        <f t="shared" si="0"/>
        <v>12650</v>
      </c>
      <c r="F46">
        <f>VLOOKUP(C46, Incentive_Master!A:C, 3, TRUE)</f>
        <v>55000</v>
      </c>
      <c r="G46" s="6">
        <f>_xlfn.XLOOKUP(C46, Incentive_Master!A:A, Incentive_Master!D:D,"", 1)</f>
        <v>0.04</v>
      </c>
    </row>
    <row r="47" spans="1:7" x14ac:dyDescent="0.3">
      <c r="A47">
        <v>450000</v>
      </c>
      <c r="B47">
        <v>459999</v>
      </c>
      <c r="C47">
        <v>60000</v>
      </c>
      <c r="D47" s="2">
        <v>0.24</v>
      </c>
      <c r="E47">
        <f t="shared" si="0"/>
        <v>14400</v>
      </c>
      <c r="F47">
        <f>VLOOKUP(C47, Incentive_Master!A:C, 3, TRUE)</f>
        <v>60000</v>
      </c>
      <c r="G47" s="6">
        <f>_xlfn.XLOOKUP(C47, Incentive_Master!A:A, Incentive_Master!D:D,"", 1)</f>
        <v>0.04</v>
      </c>
    </row>
    <row r="48" spans="1:7" x14ac:dyDescent="0.3">
      <c r="A48">
        <v>460000</v>
      </c>
      <c r="B48">
        <v>469999</v>
      </c>
      <c r="C48">
        <v>65000</v>
      </c>
      <c r="D48" s="2">
        <v>0.24</v>
      </c>
      <c r="E48">
        <f t="shared" si="0"/>
        <v>15600</v>
      </c>
      <c r="F48">
        <f>VLOOKUP(C48, Incentive_Master!A:C, 3, TRUE)</f>
        <v>60000</v>
      </c>
      <c r="G48" s="6">
        <f>_xlfn.XLOOKUP(C48, Incentive_Master!A:A, Incentive_Master!D:D,"", 1)</f>
        <v>0.05</v>
      </c>
    </row>
    <row r="49" spans="1:7" x14ac:dyDescent="0.3">
      <c r="A49">
        <v>470000</v>
      </c>
      <c r="B49">
        <v>479999</v>
      </c>
      <c r="C49">
        <v>70000</v>
      </c>
      <c r="D49" s="2">
        <v>0.25</v>
      </c>
      <c r="E49">
        <f t="shared" si="0"/>
        <v>17500</v>
      </c>
      <c r="F49">
        <f>VLOOKUP(C49, Incentive_Master!A:C, 3, TRUE)</f>
        <v>65000</v>
      </c>
      <c r="G49" s="6">
        <f>_xlfn.XLOOKUP(C49, Incentive_Master!A:A, Incentive_Master!D:D,"", 1)</f>
        <v>0.05</v>
      </c>
    </row>
    <row r="50" spans="1:7" x14ac:dyDescent="0.3">
      <c r="A50">
        <v>480000</v>
      </c>
      <c r="B50">
        <v>489999</v>
      </c>
      <c r="C50">
        <v>75000</v>
      </c>
      <c r="D50" s="2">
        <v>0.25</v>
      </c>
      <c r="E50">
        <f t="shared" si="0"/>
        <v>18750</v>
      </c>
      <c r="F50">
        <f>VLOOKUP(C50, Incentive_Master!A:C, 3, TRUE)</f>
        <v>65000</v>
      </c>
      <c r="G50" s="6">
        <f>_xlfn.XLOOKUP(C50, Incentive_Master!A:A, Incentive_Master!D:D,"", 1)</f>
        <v>0.05</v>
      </c>
    </row>
    <row r="51" spans="1:7" x14ac:dyDescent="0.3">
      <c r="A51">
        <v>490000</v>
      </c>
      <c r="B51">
        <v>499999</v>
      </c>
      <c r="C51">
        <v>80000</v>
      </c>
      <c r="D51" s="2">
        <v>0.26</v>
      </c>
      <c r="E51">
        <f t="shared" si="0"/>
        <v>20800</v>
      </c>
      <c r="F51">
        <f>VLOOKUP(C51, Incentive_Master!A:C, 3, TRUE)</f>
        <v>70000</v>
      </c>
      <c r="G51" s="6">
        <f>_xlfn.XLOOKUP(C51, Incentive_Master!A:A, Incentive_Master!D:D,"", 1)</f>
        <v>0.05</v>
      </c>
    </row>
    <row r="52" spans="1:7" x14ac:dyDescent="0.3">
      <c r="A52">
        <v>500000</v>
      </c>
      <c r="B52">
        <v>509999</v>
      </c>
      <c r="C52">
        <v>85000</v>
      </c>
      <c r="D52" s="2">
        <v>0.26</v>
      </c>
      <c r="E52">
        <f t="shared" si="0"/>
        <v>22100</v>
      </c>
      <c r="F52">
        <f>VLOOKUP(C52, Incentive_Master!A:C, 3, TRUE)</f>
        <v>70000</v>
      </c>
      <c r="G52" s="6">
        <f>_xlfn.XLOOKUP(C52, Incentive_Master!A:A, Incentive_Master!D:D,"", 1)</f>
        <v>0.06</v>
      </c>
    </row>
    <row r="53" spans="1:7" x14ac:dyDescent="0.3">
      <c r="A53">
        <v>510000</v>
      </c>
      <c r="B53">
        <v>519999</v>
      </c>
      <c r="C53">
        <v>90000</v>
      </c>
      <c r="D53" s="2">
        <v>0.27</v>
      </c>
      <c r="E53">
        <f t="shared" si="0"/>
        <v>24300</v>
      </c>
      <c r="F53">
        <f>VLOOKUP(C53, Incentive_Master!A:C, 3, TRUE)</f>
        <v>75000</v>
      </c>
      <c r="G53" s="6">
        <f>_xlfn.XLOOKUP(C53, Incentive_Master!A:A, Incentive_Master!D:D,"", 1)</f>
        <v>0.06</v>
      </c>
    </row>
    <row r="54" spans="1:7" x14ac:dyDescent="0.3">
      <c r="A54">
        <v>520000</v>
      </c>
      <c r="B54">
        <v>529999</v>
      </c>
      <c r="C54">
        <v>30000</v>
      </c>
      <c r="D54" s="2">
        <v>0.27</v>
      </c>
      <c r="E54">
        <f t="shared" si="0"/>
        <v>8100.0000000000009</v>
      </c>
      <c r="F54">
        <f>VLOOKUP(C54, Incentive_Master!A:C, 3, TRUE)</f>
        <v>45000</v>
      </c>
      <c r="G54" s="6">
        <f>_xlfn.XLOOKUP(C54, Incentive_Master!A:A, Incentive_Master!D:D,"", 1)</f>
        <v>0.03</v>
      </c>
    </row>
    <row r="55" spans="1:7" x14ac:dyDescent="0.3">
      <c r="A55">
        <v>530000</v>
      </c>
      <c r="B55">
        <v>539999</v>
      </c>
      <c r="C55">
        <v>35000</v>
      </c>
      <c r="D55" s="2">
        <v>0.28000000000000003</v>
      </c>
      <c r="E55">
        <f t="shared" si="0"/>
        <v>9800.0000000000018</v>
      </c>
      <c r="F55">
        <f>VLOOKUP(C55, Incentive_Master!A:C, 3, TRUE)</f>
        <v>45000</v>
      </c>
      <c r="G55" s="6">
        <f>_xlfn.XLOOKUP(C55, Incentive_Master!A:A, Incentive_Master!D:D,"", 1)</f>
        <v>0.03</v>
      </c>
    </row>
    <row r="56" spans="1:7" x14ac:dyDescent="0.3">
      <c r="A56">
        <v>540000</v>
      </c>
      <c r="B56">
        <v>549999</v>
      </c>
      <c r="C56">
        <v>40000</v>
      </c>
      <c r="D56" s="2">
        <v>0.28000000000000003</v>
      </c>
      <c r="E56">
        <f t="shared" si="0"/>
        <v>11200.000000000002</v>
      </c>
      <c r="F56">
        <f>VLOOKUP(C56, Incentive_Master!A:C, 3, TRUE)</f>
        <v>50000</v>
      </c>
      <c r="G56" s="6">
        <f>_xlfn.XLOOKUP(C56, Incentive_Master!A:A, Incentive_Master!D:D,"", 1)</f>
        <v>0.03</v>
      </c>
    </row>
    <row r="57" spans="1:7" x14ac:dyDescent="0.3">
      <c r="A57">
        <v>550000</v>
      </c>
      <c r="B57">
        <v>559999</v>
      </c>
      <c r="C57">
        <v>45000</v>
      </c>
      <c r="D57" s="2">
        <v>0.28999999999999998</v>
      </c>
      <c r="E57">
        <f t="shared" si="0"/>
        <v>13050</v>
      </c>
      <c r="F57">
        <f>VLOOKUP(C57, Incentive_Master!A:C, 3, TRUE)</f>
        <v>50000</v>
      </c>
      <c r="G57" s="6">
        <f>_xlfn.XLOOKUP(C57, Incentive_Master!A:A, Incentive_Master!D:D,"", 1)</f>
        <v>0.04</v>
      </c>
    </row>
    <row r="58" spans="1:7" x14ac:dyDescent="0.3">
      <c r="A58">
        <v>560000</v>
      </c>
      <c r="B58">
        <v>569999</v>
      </c>
      <c r="C58">
        <v>50000</v>
      </c>
      <c r="D58" s="2">
        <v>0.28999999999999998</v>
      </c>
      <c r="E58">
        <f t="shared" si="0"/>
        <v>14499.999999999998</v>
      </c>
      <c r="F58">
        <f>VLOOKUP(C58, Incentive_Master!A:C, 3, TRUE)</f>
        <v>55000</v>
      </c>
      <c r="G58" s="6">
        <f>_xlfn.XLOOKUP(C58, Incentive_Master!A:A, Incentive_Master!D:D,"", 1)</f>
        <v>0.04</v>
      </c>
    </row>
    <row r="59" spans="1:7" x14ac:dyDescent="0.3">
      <c r="A59">
        <v>570000</v>
      </c>
      <c r="B59">
        <v>579999</v>
      </c>
      <c r="C59">
        <v>55000</v>
      </c>
      <c r="D59" s="2">
        <v>0.3</v>
      </c>
      <c r="E59">
        <f t="shared" si="0"/>
        <v>16500</v>
      </c>
      <c r="F59">
        <f>VLOOKUP(C59, Incentive_Master!A:C, 3, TRUE)</f>
        <v>55000</v>
      </c>
      <c r="G59" s="6">
        <f>_xlfn.XLOOKUP(C59, Incentive_Master!A:A, Incentive_Master!D:D,"", 1)</f>
        <v>0.04</v>
      </c>
    </row>
    <row r="60" spans="1:7" x14ac:dyDescent="0.3">
      <c r="A60">
        <v>580000</v>
      </c>
      <c r="B60">
        <v>589999</v>
      </c>
      <c r="C60">
        <v>60000</v>
      </c>
      <c r="D60" s="2">
        <v>0.3</v>
      </c>
      <c r="E60">
        <f t="shared" si="0"/>
        <v>18000</v>
      </c>
      <c r="F60">
        <f>VLOOKUP(C60, Incentive_Master!A:C, 3, TRUE)</f>
        <v>60000</v>
      </c>
      <c r="G60" s="6">
        <f>_xlfn.XLOOKUP(C60, Incentive_Master!A:A, Incentive_Master!D:D,"", 1)</f>
        <v>0.04</v>
      </c>
    </row>
    <row r="61" spans="1:7" x14ac:dyDescent="0.3">
      <c r="A61">
        <v>590000</v>
      </c>
      <c r="B61">
        <v>599999</v>
      </c>
      <c r="C61">
        <v>65000</v>
      </c>
      <c r="D61" s="2">
        <v>0.31</v>
      </c>
      <c r="E61">
        <f t="shared" si="0"/>
        <v>20150</v>
      </c>
      <c r="F61">
        <f>VLOOKUP(C61, Incentive_Master!A:C, 3, TRUE)</f>
        <v>60000</v>
      </c>
      <c r="G61" s="6">
        <f>_xlfn.XLOOKUP(C61, Incentive_Master!A:A, Incentive_Master!D:D,"", 1)</f>
        <v>0.05</v>
      </c>
    </row>
    <row r="62" spans="1:7" x14ac:dyDescent="0.3">
      <c r="A62">
        <v>600000</v>
      </c>
      <c r="B62">
        <v>609999</v>
      </c>
      <c r="C62">
        <v>70000</v>
      </c>
      <c r="D62" s="2">
        <v>0.31</v>
      </c>
      <c r="E62">
        <f t="shared" si="0"/>
        <v>21700</v>
      </c>
      <c r="F62">
        <f>VLOOKUP(C62, Incentive_Master!A:C, 3, TRUE)</f>
        <v>65000</v>
      </c>
      <c r="G62" s="6">
        <f>_xlfn.XLOOKUP(C62, Incentive_Master!A:A, Incentive_Master!D:D,"", 1)</f>
        <v>0.05</v>
      </c>
    </row>
    <row r="63" spans="1:7" x14ac:dyDescent="0.3">
      <c r="A63">
        <v>610000</v>
      </c>
      <c r="B63">
        <v>619999</v>
      </c>
      <c r="C63">
        <v>75000</v>
      </c>
      <c r="D63" s="2">
        <v>0.32</v>
      </c>
      <c r="E63">
        <f t="shared" si="0"/>
        <v>24000</v>
      </c>
      <c r="F63">
        <f>VLOOKUP(C63, Incentive_Master!A:C, 3, TRUE)</f>
        <v>65000</v>
      </c>
      <c r="G63" s="6">
        <f>_xlfn.XLOOKUP(C63, Incentive_Master!A:A, Incentive_Master!D:D,"", 1)</f>
        <v>0.05</v>
      </c>
    </row>
    <row r="64" spans="1:7" x14ac:dyDescent="0.3">
      <c r="A64">
        <v>620000</v>
      </c>
      <c r="B64">
        <v>629999</v>
      </c>
      <c r="C64">
        <v>80000</v>
      </c>
      <c r="D64" s="2">
        <v>0.32</v>
      </c>
      <c r="E64">
        <f t="shared" si="0"/>
        <v>25600</v>
      </c>
      <c r="F64">
        <f>VLOOKUP(C64, Incentive_Master!A:C, 3, TRUE)</f>
        <v>70000</v>
      </c>
      <c r="G64" s="6">
        <f>_xlfn.XLOOKUP(C64, Incentive_Master!A:A, Incentive_Master!D:D,"", 1)</f>
        <v>0.05</v>
      </c>
    </row>
    <row r="65" spans="1:7" x14ac:dyDescent="0.3">
      <c r="A65">
        <v>630000</v>
      </c>
      <c r="B65">
        <v>639999</v>
      </c>
      <c r="C65">
        <v>85000</v>
      </c>
      <c r="D65" s="2">
        <v>0.33</v>
      </c>
      <c r="E65">
        <f t="shared" si="0"/>
        <v>28050</v>
      </c>
      <c r="F65">
        <f>VLOOKUP(C65, Incentive_Master!A:C, 3, TRUE)</f>
        <v>70000</v>
      </c>
      <c r="G65" s="6">
        <f>_xlfn.XLOOKUP(C65, Incentive_Master!A:A, Incentive_Master!D:D,"", 1)</f>
        <v>0.06</v>
      </c>
    </row>
    <row r="66" spans="1:7" x14ac:dyDescent="0.3">
      <c r="A66">
        <v>640000</v>
      </c>
      <c r="B66">
        <v>649999</v>
      </c>
      <c r="C66">
        <v>90000</v>
      </c>
      <c r="D66" s="2">
        <v>0.33</v>
      </c>
      <c r="E66">
        <f t="shared" si="0"/>
        <v>29700</v>
      </c>
      <c r="F66">
        <f>VLOOKUP(C66, Incentive_Master!A:C, 3, TRUE)</f>
        <v>75000</v>
      </c>
      <c r="G66" s="6">
        <f>_xlfn.XLOOKUP(C66, Incentive_Master!A:A, Incentive_Master!D:D,"", 1)</f>
        <v>0.06</v>
      </c>
    </row>
    <row r="67" spans="1:7" x14ac:dyDescent="0.3">
      <c r="A67">
        <v>650000</v>
      </c>
      <c r="B67">
        <v>659999</v>
      </c>
      <c r="C67">
        <v>30000</v>
      </c>
      <c r="D67" s="2">
        <v>0.34</v>
      </c>
      <c r="E67">
        <f t="shared" ref="E67:E130" si="1">C67*D67</f>
        <v>10200</v>
      </c>
      <c r="F67">
        <f>VLOOKUP(C67, Incentive_Master!A:C, 3, TRUE)</f>
        <v>45000</v>
      </c>
      <c r="G67" s="6">
        <f>_xlfn.XLOOKUP(C67, Incentive_Master!A:A, Incentive_Master!D:D,"", 1)</f>
        <v>0.03</v>
      </c>
    </row>
    <row r="68" spans="1:7" x14ac:dyDescent="0.3">
      <c r="A68">
        <v>660000</v>
      </c>
      <c r="B68">
        <v>669999</v>
      </c>
      <c r="C68">
        <v>35000</v>
      </c>
      <c r="D68" s="2">
        <v>0.34</v>
      </c>
      <c r="E68">
        <f t="shared" si="1"/>
        <v>11900</v>
      </c>
      <c r="F68">
        <f>VLOOKUP(C68, Incentive_Master!A:C, 3, TRUE)</f>
        <v>45000</v>
      </c>
      <c r="G68" s="6">
        <f>_xlfn.XLOOKUP(C68, Incentive_Master!A:A, Incentive_Master!D:D,"", 1)</f>
        <v>0.03</v>
      </c>
    </row>
    <row r="69" spans="1:7" x14ac:dyDescent="0.3">
      <c r="A69">
        <v>670000</v>
      </c>
      <c r="B69">
        <v>679999</v>
      </c>
      <c r="C69">
        <v>40000</v>
      </c>
      <c r="D69" s="2">
        <v>0.35</v>
      </c>
      <c r="E69">
        <f t="shared" si="1"/>
        <v>14000</v>
      </c>
      <c r="F69">
        <f>VLOOKUP(C69, Incentive_Master!A:C, 3, TRUE)</f>
        <v>50000</v>
      </c>
      <c r="G69" s="6">
        <f>_xlfn.XLOOKUP(C69, Incentive_Master!A:A, Incentive_Master!D:D,"", 1)</f>
        <v>0.03</v>
      </c>
    </row>
    <row r="70" spans="1:7" x14ac:dyDescent="0.3">
      <c r="A70">
        <v>680000</v>
      </c>
      <c r="B70">
        <v>689999</v>
      </c>
      <c r="C70">
        <v>45000</v>
      </c>
      <c r="D70" s="2">
        <v>0.35</v>
      </c>
      <c r="E70">
        <f t="shared" si="1"/>
        <v>15749.999999999998</v>
      </c>
      <c r="F70">
        <f>VLOOKUP(C70, Incentive_Master!A:C, 3, TRUE)</f>
        <v>50000</v>
      </c>
      <c r="G70" s="6">
        <f>_xlfn.XLOOKUP(C70, Incentive_Master!A:A, Incentive_Master!D:D,"", 1)</f>
        <v>0.04</v>
      </c>
    </row>
    <row r="71" spans="1:7" x14ac:dyDescent="0.3">
      <c r="A71">
        <v>690000</v>
      </c>
      <c r="B71">
        <v>699999</v>
      </c>
      <c r="C71">
        <v>50000</v>
      </c>
      <c r="D71" s="2">
        <v>0.36</v>
      </c>
      <c r="E71">
        <f t="shared" si="1"/>
        <v>18000</v>
      </c>
      <c r="F71">
        <f>VLOOKUP(C71, Incentive_Master!A:C, 3, TRUE)</f>
        <v>55000</v>
      </c>
      <c r="G71" s="6">
        <f>_xlfn.XLOOKUP(C71, Incentive_Master!A:A, Incentive_Master!D:D,"", 1)</f>
        <v>0.04</v>
      </c>
    </row>
    <row r="72" spans="1:7" x14ac:dyDescent="0.3">
      <c r="A72">
        <v>700000</v>
      </c>
      <c r="B72">
        <v>709999</v>
      </c>
      <c r="C72">
        <v>55000</v>
      </c>
      <c r="D72" s="2">
        <v>0.36</v>
      </c>
      <c r="E72">
        <f t="shared" si="1"/>
        <v>19800</v>
      </c>
      <c r="F72">
        <f>VLOOKUP(C72, Incentive_Master!A:C, 3, TRUE)</f>
        <v>55000</v>
      </c>
      <c r="G72" s="6">
        <f>_xlfn.XLOOKUP(C72, Incentive_Master!A:A, Incentive_Master!D:D,"", 1)</f>
        <v>0.04</v>
      </c>
    </row>
    <row r="73" spans="1:7" x14ac:dyDescent="0.3">
      <c r="A73">
        <v>710000</v>
      </c>
      <c r="B73">
        <v>719999</v>
      </c>
      <c r="C73">
        <v>60000</v>
      </c>
      <c r="D73" s="2">
        <v>0.37</v>
      </c>
      <c r="E73">
        <f t="shared" si="1"/>
        <v>22200</v>
      </c>
      <c r="F73">
        <f>VLOOKUP(C73, Incentive_Master!A:C, 3, TRUE)</f>
        <v>60000</v>
      </c>
      <c r="G73" s="6">
        <f>_xlfn.XLOOKUP(C73, Incentive_Master!A:A, Incentive_Master!D:D,"", 1)</f>
        <v>0.04</v>
      </c>
    </row>
    <row r="74" spans="1:7" x14ac:dyDescent="0.3">
      <c r="A74">
        <v>720000</v>
      </c>
      <c r="B74">
        <v>729999</v>
      </c>
      <c r="C74">
        <v>65000</v>
      </c>
      <c r="D74" s="2">
        <v>0.37</v>
      </c>
      <c r="E74">
        <f t="shared" si="1"/>
        <v>24050</v>
      </c>
      <c r="F74">
        <f>VLOOKUP(C74, Incentive_Master!A:C, 3, TRUE)</f>
        <v>60000</v>
      </c>
      <c r="G74" s="6">
        <f>_xlfn.XLOOKUP(C74, Incentive_Master!A:A, Incentive_Master!D:D,"", 1)</f>
        <v>0.05</v>
      </c>
    </row>
    <row r="75" spans="1:7" x14ac:dyDescent="0.3">
      <c r="A75">
        <v>730000</v>
      </c>
      <c r="B75">
        <v>739999</v>
      </c>
      <c r="C75">
        <v>70000</v>
      </c>
      <c r="D75" s="2">
        <v>0.38</v>
      </c>
      <c r="E75">
        <f t="shared" si="1"/>
        <v>26600</v>
      </c>
      <c r="F75">
        <f>VLOOKUP(C75, Incentive_Master!A:C, 3, TRUE)</f>
        <v>65000</v>
      </c>
      <c r="G75" s="6">
        <f>_xlfn.XLOOKUP(C75, Incentive_Master!A:A, Incentive_Master!D:D,"", 1)</f>
        <v>0.05</v>
      </c>
    </row>
    <row r="76" spans="1:7" x14ac:dyDescent="0.3">
      <c r="A76">
        <v>740000</v>
      </c>
      <c r="B76">
        <v>749999</v>
      </c>
      <c r="C76">
        <v>75000</v>
      </c>
      <c r="D76" s="2">
        <v>0.38</v>
      </c>
      <c r="E76">
        <f t="shared" si="1"/>
        <v>28500</v>
      </c>
      <c r="F76">
        <f>VLOOKUP(C76, Incentive_Master!A:C, 3, TRUE)</f>
        <v>65000</v>
      </c>
      <c r="G76" s="6">
        <f>_xlfn.XLOOKUP(C76, Incentive_Master!A:A, Incentive_Master!D:D,"", 1)</f>
        <v>0.05</v>
      </c>
    </row>
    <row r="77" spans="1:7" x14ac:dyDescent="0.3">
      <c r="A77">
        <v>750000</v>
      </c>
      <c r="B77">
        <v>759999</v>
      </c>
      <c r="C77">
        <v>80000</v>
      </c>
      <c r="D77" s="2">
        <v>0.39</v>
      </c>
      <c r="E77">
        <f t="shared" si="1"/>
        <v>31200</v>
      </c>
      <c r="F77">
        <f>VLOOKUP(C77, Incentive_Master!A:C, 3, TRUE)</f>
        <v>70000</v>
      </c>
      <c r="G77" s="6">
        <f>_xlfn.XLOOKUP(C77, Incentive_Master!A:A, Incentive_Master!D:D,"", 1)</f>
        <v>0.05</v>
      </c>
    </row>
    <row r="78" spans="1:7" x14ac:dyDescent="0.3">
      <c r="A78">
        <v>760000</v>
      </c>
      <c r="B78">
        <v>769999</v>
      </c>
      <c r="C78">
        <v>85000</v>
      </c>
      <c r="D78" s="2">
        <v>0.39</v>
      </c>
      <c r="E78">
        <f t="shared" si="1"/>
        <v>33150</v>
      </c>
      <c r="F78">
        <f>VLOOKUP(C78, Incentive_Master!A:C, 3, TRUE)</f>
        <v>70000</v>
      </c>
      <c r="G78" s="6">
        <f>_xlfn.XLOOKUP(C78, Incentive_Master!A:A, Incentive_Master!D:D,"", 1)</f>
        <v>0.06</v>
      </c>
    </row>
    <row r="79" spans="1:7" x14ac:dyDescent="0.3">
      <c r="A79">
        <v>770000</v>
      </c>
      <c r="B79">
        <v>779999</v>
      </c>
      <c r="C79">
        <v>90000</v>
      </c>
      <c r="D79" s="2">
        <v>0.4</v>
      </c>
      <c r="E79">
        <f t="shared" si="1"/>
        <v>36000</v>
      </c>
      <c r="F79">
        <f>VLOOKUP(C79, Incentive_Master!A:C, 3, TRUE)</f>
        <v>75000</v>
      </c>
      <c r="G79" s="6">
        <f>_xlfn.XLOOKUP(C79, Incentive_Master!A:A, Incentive_Master!D:D,"", 1)</f>
        <v>0.06</v>
      </c>
    </row>
    <row r="80" spans="1:7" x14ac:dyDescent="0.3">
      <c r="A80">
        <v>780000</v>
      </c>
      <c r="B80">
        <v>789999</v>
      </c>
      <c r="C80">
        <v>30000</v>
      </c>
      <c r="D80" s="2">
        <v>0.4</v>
      </c>
      <c r="E80">
        <f t="shared" si="1"/>
        <v>12000</v>
      </c>
      <c r="F80">
        <f>VLOOKUP(C80, Incentive_Master!A:C, 3, TRUE)</f>
        <v>45000</v>
      </c>
      <c r="G80" s="6">
        <f>_xlfn.XLOOKUP(C80, Incentive_Master!A:A, Incentive_Master!D:D,"", 1)</f>
        <v>0.03</v>
      </c>
    </row>
    <row r="81" spans="1:7" x14ac:dyDescent="0.3">
      <c r="A81">
        <v>790000</v>
      </c>
      <c r="B81">
        <v>799999</v>
      </c>
      <c r="C81">
        <v>35000</v>
      </c>
      <c r="D81" s="2">
        <v>0.41</v>
      </c>
      <c r="E81">
        <f t="shared" si="1"/>
        <v>14350</v>
      </c>
      <c r="F81">
        <f>VLOOKUP(C81, Incentive_Master!A:C, 3, TRUE)</f>
        <v>45000</v>
      </c>
      <c r="G81" s="6">
        <f>_xlfn.XLOOKUP(C81, Incentive_Master!A:A, Incentive_Master!D:D,"", 1)</f>
        <v>0.03</v>
      </c>
    </row>
    <row r="82" spans="1:7" x14ac:dyDescent="0.3">
      <c r="A82">
        <v>800000</v>
      </c>
      <c r="B82">
        <v>809999</v>
      </c>
      <c r="C82">
        <v>40000</v>
      </c>
      <c r="D82" s="2">
        <v>0.41</v>
      </c>
      <c r="E82">
        <f t="shared" si="1"/>
        <v>16400</v>
      </c>
      <c r="F82">
        <f>VLOOKUP(C82, Incentive_Master!A:C, 3, TRUE)</f>
        <v>50000</v>
      </c>
      <c r="G82" s="6">
        <f>_xlfn.XLOOKUP(C82, Incentive_Master!A:A, Incentive_Master!D:D,"", 1)</f>
        <v>0.03</v>
      </c>
    </row>
    <row r="83" spans="1:7" x14ac:dyDescent="0.3">
      <c r="A83">
        <v>810000</v>
      </c>
      <c r="B83">
        <v>819999</v>
      </c>
      <c r="C83">
        <v>45000</v>
      </c>
      <c r="D83" s="2">
        <v>0.42</v>
      </c>
      <c r="E83">
        <f t="shared" si="1"/>
        <v>18900</v>
      </c>
      <c r="F83">
        <f>VLOOKUP(C83, Incentive_Master!A:C, 3, TRUE)</f>
        <v>50000</v>
      </c>
      <c r="G83" s="6">
        <f>_xlfn.XLOOKUP(C83, Incentive_Master!A:A, Incentive_Master!D:D,"", 1)</f>
        <v>0.04</v>
      </c>
    </row>
    <row r="84" spans="1:7" x14ac:dyDescent="0.3">
      <c r="A84">
        <v>820000</v>
      </c>
      <c r="B84">
        <v>829999</v>
      </c>
      <c r="C84">
        <v>50000</v>
      </c>
      <c r="D84" s="2">
        <v>0.42</v>
      </c>
      <c r="E84">
        <f t="shared" si="1"/>
        <v>21000</v>
      </c>
      <c r="F84">
        <f>VLOOKUP(C84, Incentive_Master!A:C, 3, TRUE)</f>
        <v>55000</v>
      </c>
      <c r="G84" s="6">
        <f>_xlfn.XLOOKUP(C84, Incentive_Master!A:A, Incentive_Master!D:D,"", 1)</f>
        <v>0.04</v>
      </c>
    </row>
    <row r="85" spans="1:7" x14ac:dyDescent="0.3">
      <c r="A85">
        <v>830000</v>
      </c>
      <c r="B85">
        <v>839999</v>
      </c>
      <c r="C85">
        <v>55000</v>
      </c>
      <c r="D85" s="2">
        <v>0.43</v>
      </c>
      <c r="E85">
        <f t="shared" si="1"/>
        <v>23650</v>
      </c>
      <c r="F85">
        <f>VLOOKUP(C85, Incentive_Master!A:C, 3, TRUE)</f>
        <v>55000</v>
      </c>
      <c r="G85" s="6">
        <f>_xlfn.XLOOKUP(C85, Incentive_Master!A:A, Incentive_Master!D:D,"", 1)</f>
        <v>0.04</v>
      </c>
    </row>
    <row r="86" spans="1:7" x14ac:dyDescent="0.3">
      <c r="A86">
        <v>840000</v>
      </c>
      <c r="B86">
        <v>849999</v>
      </c>
      <c r="C86">
        <v>60000</v>
      </c>
      <c r="D86" s="2">
        <v>0.43</v>
      </c>
      <c r="E86">
        <f t="shared" si="1"/>
        <v>25800</v>
      </c>
      <c r="F86">
        <f>VLOOKUP(C86, Incentive_Master!A:C, 3, TRUE)</f>
        <v>60000</v>
      </c>
      <c r="G86" s="6">
        <f>_xlfn.XLOOKUP(C86, Incentive_Master!A:A, Incentive_Master!D:D,"", 1)</f>
        <v>0.04</v>
      </c>
    </row>
    <row r="87" spans="1:7" x14ac:dyDescent="0.3">
      <c r="A87">
        <v>850000</v>
      </c>
      <c r="B87">
        <v>859999</v>
      </c>
      <c r="C87">
        <v>65000</v>
      </c>
      <c r="D87" s="2">
        <v>0.44</v>
      </c>
      <c r="E87">
        <f t="shared" si="1"/>
        <v>28600</v>
      </c>
      <c r="F87">
        <f>VLOOKUP(C87, Incentive_Master!A:C, 3, TRUE)</f>
        <v>60000</v>
      </c>
      <c r="G87" s="6">
        <f>_xlfn.XLOOKUP(C87, Incentive_Master!A:A, Incentive_Master!D:D,"", 1)</f>
        <v>0.05</v>
      </c>
    </row>
    <row r="88" spans="1:7" x14ac:dyDescent="0.3">
      <c r="A88">
        <v>860000</v>
      </c>
      <c r="B88">
        <v>869999</v>
      </c>
      <c r="C88">
        <v>70000</v>
      </c>
      <c r="D88" s="2">
        <v>0.44</v>
      </c>
      <c r="E88">
        <f t="shared" si="1"/>
        <v>30800</v>
      </c>
      <c r="F88">
        <f>VLOOKUP(C88, Incentive_Master!A:C, 3, TRUE)</f>
        <v>65000</v>
      </c>
      <c r="G88" s="6">
        <f>_xlfn.XLOOKUP(C88, Incentive_Master!A:A, Incentive_Master!D:D,"", 1)</f>
        <v>0.05</v>
      </c>
    </row>
    <row r="89" spans="1:7" x14ac:dyDescent="0.3">
      <c r="A89">
        <v>870000</v>
      </c>
      <c r="B89">
        <v>879999</v>
      </c>
      <c r="C89">
        <v>75000</v>
      </c>
      <c r="D89" s="2">
        <v>0.45</v>
      </c>
      <c r="E89">
        <f t="shared" si="1"/>
        <v>33750</v>
      </c>
      <c r="F89">
        <f>VLOOKUP(C89, Incentive_Master!A:C, 3, TRUE)</f>
        <v>65000</v>
      </c>
      <c r="G89" s="6">
        <f>_xlfn.XLOOKUP(C89, Incentive_Master!A:A, Incentive_Master!D:D,"", 1)</f>
        <v>0.05</v>
      </c>
    </row>
    <row r="90" spans="1:7" x14ac:dyDescent="0.3">
      <c r="A90">
        <v>880000</v>
      </c>
      <c r="B90">
        <v>889999</v>
      </c>
      <c r="C90">
        <v>80000</v>
      </c>
      <c r="D90" s="2">
        <v>0.45</v>
      </c>
      <c r="E90">
        <f t="shared" si="1"/>
        <v>36000</v>
      </c>
      <c r="F90">
        <f>VLOOKUP(C90, Incentive_Master!A:C, 3, TRUE)</f>
        <v>70000</v>
      </c>
      <c r="G90" s="6">
        <f>_xlfn.XLOOKUP(C90, Incentive_Master!A:A, Incentive_Master!D:D,"", 1)</f>
        <v>0.05</v>
      </c>
    </row>
    <row r="91" spans="1:7" x14ac:dyDescent="0.3">
      <c r="A91">
        <v>890000</v>
      </c>
      <c r="B91">
        <v>899999</v>
      </c>
      <c r="C91">
        <v>85000</v>
      </c>
      <c r="D91" s="2">
        <v>0.46</v>
      </c>
      <c r="E91">
        <f t="shared" si="1"/>
        <v>39100</v>
      </c>
      <c r="F91">
        <f>VLOOKUP(C91, Incentive_Master!A:C, 3, TRUE)</f>
        <v>70000</v>
      </c>
      <c r="G91" s="6">
        <f>_xlfn.XLOOKUP(C91, Incentive_Master!A:A, Incentive_Master!D:D,"", 1)</f>
        <v>0.06</v>
      </c>
    </row>
    <row r="92" spans="1:7" x14ac:dyDescent="0.3">
      <c r="A92">
        <v>900000</v>
      </c>
      <c r="B92">
        <v>909999</v>
      </c>
      <c r="C92">
        <v>90000</v>
      </c>
      <c r="D92" s="2">
        <v>0.46</v>
      </c>
      <c r="E92">
        <f t="shared" si="1"/>
        <v>41400</v>
      </c>
      <c r="F92">
        <f>VLOOKUP(C92, Incentive_Master!A:C, 3, TRUE)</f>
        <v>75000</v>
      </c>
      <c r="G92" s="6">
        <f>_xlfn.XLOOKUP(C92, Incentive_Master!A:A, Incentive_Master!D:D,"", 1)</f>
        <v>0.06</v>
      </c>
    </row>
    <row r="93" spans="1:7" x14ac:dyDescent="0.3">
      <c r="A93">
        <v>910000</v>
      </c>
      <c r="B93">
        <v>919999</v>
      </c>
      <c r="C93">
        <v>30000</v>
      </c>
      <c r="D93" s="2">
        <v>0.47</v>
      </c>
      <c r="E93">
        <f t="shared" si="1"/>
        <v>14100</v>
      </c>
      <c r="F93">
        <f>VLOOKUP(C93, Incentive_Master!A:C, 3, TRUE)</f>
        <v>45000</v>
      </c>
      <c r="G93" s="6">
        <f>_xlfn.XLOOKUP(C93, Incentive_Master!A:A, Incentive_Master!D:D,"", 1)</f>
        <v>0.03</v>
      </c>
    </row>
    <row r="94" spans="1:7" x14ac:dyDescent="0.3">
      <c r="A94">
        <v>920000</v>
      </c>
      <c r="B94">
        <v>929999</v>
      </c>
      <c r="C94">
        <v>35000</v>
      </c>
      <c r="D94" s="2">
        <v>0.47</v>
      </c>
      <c r="E94">
        <f t="shared" si="1"/>
        <v>16450</v>
      </c>
      <c r="F94">
        <f>VLOOKUP(C94, Incentive_Master!A:C, 3, TRUE)</f>
        <v>45000</v>
      </c>
      <c r="G94" s="6">
        <f>_xlfn.XLOOKUP(C94, Incentive_Master!A:A, Incentive_Master!D:D,"", 1)</f>
        <v>0.03</v>
      </c>
    </row>
    <row r="95" spans="1:7" x14ac:dyDescent="0.3">
      <c r="A95">
        <v>930000</v>
      </c>
      <c r="B95">
        <v>939999</v>
      </c>
      <c r="C95">
        <v>40000</v>
      </c>
      <c r="D95" s="2">
        <v>0.48</v>
      </c>
      <c r="E95">
        <f t="shared" si="1"/>
        <v>19200</v>
      </c>
      <c r="F95">
        <f>VLOOKUP(C95, Incentive_Master!A:C, 3, TRUE)</f>
        <v>50000</v>
      </c>
      <c r="G95" s="6">
        <f>_xlfn.XLOOKUP(C95, Incentive_Master!A:A, Incentive_Master!D:D,"", 1)</f>
        <v>0.03</v>
      </c>
    </row>
    <row r="96" spans="1:7" x14ac:dyDescent="0.3">
      <c r="A96">
        <v>940000</v>
      </c>
      <c r="B96">
        <v>949999</v>
      </c>
      <c r="C96">
        <v>45000</v>
      </c>
      <c r="D96" s="2">
        <v>0.48</v>
      </c>
      <c r="E96">
        <f t="shared" si="1"/>
        <v>21600</v>
      </c>
      <c r="F96">
        <f>VLOOKUP(C96, Incentive_Master!A:C, 3, TRUE)</f>
        <v>50000</v>
      </c>
      <c r="G96" s="6">
        <f>_xlfn.XLOOKUP(C96, Incentive_Master!A:A, Incentive_Master!D:D,"", 1)</f>
        <v>0.04</v>
      </c>
    </row>
    <row r="97" spans="1:7" x14ac:dyDescent="0.3">
      <c r="A97">
        <v>950000</v>
      </c>
      <c r="B97">
        <v>959999</v>
      </c>
      <c r="C97">
        <v>50000</v>
      </c>
      <c r="D97" s="2">
        <v>0.49</v>
      </c>
      <c r="E97">
        <f t="shared" si="1"/>
        <v>24500</v>
      </c>
      <c r="F97">
        <f>VLOOKUP(C97, Incentive_Master!A:C, 3, TRUE)</f>
        <v>55000</v>
      </c>
      <c r="G97" s="6">
        <f>_xlfn.XLOOKUP(C97, Incentive_Master!A:A, Incentive_Master!D:D,"", 1)</f>
        <v>0.04</v>
      </c>
    </row>
    <row r="98" spans="1:7" x14ac:dyDescent="0.3">
      <c r="A98">
        <v>960000</v>
      </c>
      <c r="B98">
        <v>969999</v>
      </c>
      <c r="C98">
        <v>55000</v>
      </c>
      <c r="D98" s="2">
        <v>0.49</v>
      </c>
      <c r="E98">
        <f t="shared" si="1"/>
        <v>26950</v>
      </c>
      <c r="F98">
        <f>VLOOKUP(C98, Incentive_Master!A:C, 3, TRUE)</f>
        <v>55000</v>
      </c>
      <c r="G98" s="6">
        <f>_xlfn.XLOOKUP(C98, Incentive_Master!A:A, Incentive_Master!D:D,"", 1)</f>
        <v>0.04</v>
      </c>
    </row>
    <row r="99" spans="1:7" x14ac:dyDescent="0.3">
      <c r="A99">
        <v>970000</v>
      </c>
      <c r="B99">
        <v>979999</v>
      </c>
      <c r="C99">
        <v>60000</v>
      </c>
      <c r="D99" s="2">
        <v>0.5</v>
      </c>
      <c r="E99">
        <f t="shared" si="1"/>
        <v>30000</v>
      </c>
      <c r="F99">
        <f>VLOOKUP(C99, Incentive_Master!A:C, 3, TRUE)</f>
        <v>60000</v>
      </c>
      <c r="G99" s="6">
        <f>_xlfn.XLOOKUP(C99, Incentive_Master!A:A, Incentive_Master!D:D,"", 1)</f>
        <v>0.04</v>
      </c>
    </row>
    <row r="100" spans="1:7" x14ac:dyDescent="0.3">
      <c r="A100">
        <v>980000</v>
      </c>
      <c r="B100">
        <v>989999</v>
      </c>
      <c r="C100">
        <v>65000</v>
      </c>
      <c r="D100" s="2">
        <v>0.5</v>
      </c>
      <c r="E100">
        <f t="shared" si="1"/>
        <v>32500</v>
      </c>
      <c r="F100">
        <f>VLOOKUP(C100, Incentive_Master!A:C, 3, TRUE)</f>
        <v>60000</v>
      </c>
      <c r="G100" s="6">
        <f>_xlfn.XLOOKUP(C100, Incentive_Master!A:A, Incentive_Master!D:D,"", 1)</f>
        <v>0.05</v>
      </c>
    </row>
    <row r="101" spans="1:7" x14ac:dyDescent="0.3">
      <c r="A101">
        <v>990000</v>
      </c>
      <c r="B101">
        <v>999999</v>
      </c>
      <c r="C101">
        <v>70000</v>
      </c>
      <c r="D101" s="2">
        <v>0.51</v>
      </c>
      <c r="E101">
        <f t="shared" si="1"/>
        <v>35700</v>
      </c>
      <c r="F101">
        <f>VLOOKUP(C101, Incentive_Master!A:C, 3, TRUE)</f>
        <v>65000</v>
      </c>
      <c r="G101" s="6">
        <f>_xlfn.XLOOKUP(C101, Incentive_Master!A:A, Incentive_Master!D:D,"", 1)</f>
        <v>0.05</v>
      </c>
    </row>
    <row r="102" spans="1:7" x14ac:dyDescent="0.3">
      <c r="A102">
        <v>1000000</v>
      </c>
      <c r="B102">
        <v>1009999</v>
      </c>
      <c r="C102">
        <v>75000</v>
      </c>
      <c r="D102" s="2">
        <v>0.51</v>
      </c>
      <c r="E102">
        <f t="shared" si="1"/>
        <v>38250</v>
      </c>
      <c r="F102">
        <f>VLOOKUP(C102, Incentive_Master!A:C, 3, TRUE)</f>
        <v>65000</v>
      </c>
      <c r="G102" s="6">
        <f>_xlfn.XLOOKUP(C102, Incentive_Master!A:A, Incentive_Master!D:D,"", 1)</f>
        <v>0.05</v>
      </c>
    </row>
    <row r="103" spans="1:7" x14ac:dyDescent="0.3">
      <c r="A103">
        <v>1010000</v>
      </c>
      <c r="B103">
        <v>1019999</v>
      </c>
      <c r="C103">
        <v>80000</v>
      </c>
      <c r="D103" s="2">
        <v>0.52</v>
      </c>
      <c r="E103">
        <f t="shared" si="1"/>
        <v>41600</v>
      </c>
      <c r="F103">
        <f>VLOOKUP(C103, Incentive_Master!A:C, 3, TRUE)</f>
        <v>70000</v>
      </c>
      <c r="G103" s="6">
        <f>_xlfn.XLOOKUP(C103, Incentive_Master!A:A, Incentive_Master!D:D,"", 1)</f>
        <v>0.05</v>
      </c>
    </row>
    <row r="104" spans="1:7" x14ac:dyDescent="0.3">
      <c r="A104">
        <v>1020000</v>
      </c>
      <c r="B104">
        <v>1029999</v>
      </c>
      <c r="C104">
        <v>85000</v>
      </c>
      <c r="D104" s="2">
        <v>0.52</v>
      </c>
      <c r="E104">
        <f t="shared" si="1"/>
        <v>44200</v>
      </c>
      <c r="F104">
        <f>VLOOKUP(C104, Incentive_Master!A:C, 3, TRUE)</f>
        <v>70000</v>
      </c>
      <c r="G104" s="6">
        <f>_xlfn.XLOOKUP(C104, Incentive_Master!A:A, Incentive_Master!D:D,"", 1)</f>
        <v>0.06</v>
      </c>
    </row>
    <row r="105" spans="1:7" x14ac:dyDescent="0.3">
      <c r="A105">
        <v>1030000</v>
      </c>
      <c r="B105">
        <v>1039999</v>
      </c>
      <c r="C105">
        <v>90000</v>
      </c>
      <c r="D105" s="2">
        <v>0.53</v>
      </c>
      <c r="E105">
        <f t="shared" si="1"/>
        <v>47700</v>
      </c>
      <c r="F105">
        <f>VLOOKUP(C105, Incentive_Master!A:C, 3, TRUE)</f>
        <v>75000</v>
      </c>
      <c r="G105" s="6">
        <f>_xlfn.XLOOKUP(C105, Incentive_Master!A:A, Incentive_Master!D:D,"", 1)</f>
        <v>0.06</v>
      </c>
    </row>
    <row r="106" spans="1:7" x14ac:dyDescent="0.3">
      <c r="A106">
        <v>1040000</v>
      </c>
      <c r="B106">
        <v>1049999</v>
      </c>
      <c r="C106">
        <v>30000</v>
      </c>
      <c r="D106" s="2">
        <v>0.53</v>
      </c>
      <c r="E106">
        <f t="shared" si="1"/>
        <v>15900</v>
      </c>
      <c r="F106">
        <f>VLOOKUP(C106, Incentive_Master!A:C, 3, TRUE)</f>
        <v>45000</v>
      </c>
      <c r="G106" s="6">
        <f>_xlfn.XLOOKUP(C106, Incentive_Master!A:A, Incentive_Master!D:D,"", 1)</f>
        <v>0.03</v>
      </c>
    </row>
    <row r="107" spans="1:7" x14ac:dyDescent="0.3">
      <c r="A107">
        <v>1050000</v>
      </c>
      <c r="B107">
        <v>1059999</v>
      </c>
      <c r="C107">
        <v>35000</v>
      </c>
      <c r="D107" s="2">
        <v>0.54</v>
      </c>
      <c r="E107">
        <f t="shared" si="1"/>
        <v>18900</v>
      </c>
      <c r="F107">
        <f>VLOOKUP(C107, Incentive_Master!A:C, 3, TRUE)</f>
        <v>45000</v>
      </c>
      <c r="G107" s="6">
        <f>_xlfn.XLOOKUP(C107, Incentive_Master!A:A, Incentive_Master!D:D,"", 1)</f>
        <v>0.03</v>
      </c>
    </row>
    <row r="108" spans="1:7" x14ac:dyDescent="0.3">
      <c r="A108">
        <v>1060000</v>
      </c>
      <c r="B108">
        <v>1069999</v>
      </c>
      <c r="C108">
        <v>40000</v>
      </c>
      <c r="D108" s="2">
        <v>0.54</v>
      </c>
      <c r="E108">
        <f t="shared" si="1"/>
        <v>21600</v>
      </c>
      <c r="F108">
        <f>VLOOKUP(C108, Incentive_Master!A:C, 3, TRUE)</f>
        <v>50000</v>
      </c>
      <c r="G108" s="6">
        <f>_xlfn.XLOOKUP(C108, Incentive_Master!A:A, Incentive_Master!D:D,"", 1)</f>
        <v>0.03</v>
      </c>
    </row>
    <row r="109" spans="1:7" x14ac:dyDescent="0.3">
      <c r="A109">
        <v>1070000</v>
      </c>
      <c r="B109">
        <v>1079999</v>
      </c>
      <c r="C109">
        <v>45000</v>
      </c>
      <c r="D109" s="2">
        <v>0.55000000000000004</v>
      </c>
      <c r="E109">
        <f t="shared" si="1"/>
        <v>24750.000000000004</v>
      </c>
      <c r="F109">
        <f>VLOOKUP(C109, Incentive_Master!A:C, 3, TRUE)</f>
        <v>50000</v>
      </c>
      <c r="G109" s="6">
        <f>_xlfn.XLOOKUP(C109, Incentive_Master!A:A, Incentive_Master!D:D,"", 1)</f>
        <v>0.04</v>
      </c>
    </row>
    <row r="110" spans="1:7" x14ac:dyDescent="0.3">
      <c r="A110">
        <v>1080000</v>
      </c>
      <c r="B110">
        <v>1089999</v>
      </c>
      <c r="C110">
        <v>50000</v>
      </c>
      <c r="D110" s="2">
        <v>0.55000000000000004</v>
      </c>
      <c r="E110">
        <f t="shared" si="1"/>
        <v>27500.000000000004</v>
      </c>
      <c r="F110">
        <f>VLOOKUP(C110, Incentive_Master!A:C, 3, TRUE)</f>
        <v>55000</v>
      </c>
      <c r="G110" s="6">
        <f>_xlfn.XLOOKUP(C110, Incentive_Master!A:A, Incentive_Master!D:D,"", 1)</f>
        <v>0.04</v>
      </c>
    </row>
    <row r="111" spans="1:7" x14ac:dyDescent="0.3">
      <c r="A111">
        <v>1090000</v>
      </c>
      <c r="B111">
        <v>1099999</v>
      </c>
      <c r="C111">
        <v>55000</v>
      </c>
      <c r="D111" s="2">
        <v>0.56000000000000005</v>
      </c>
      <c r="E111">
        <f t="shared" si="1"/>
        <v>30800.000000000004</v>
      </c>
      <c r="F111">
        <f>VLOOKUP(C111, Incentive_Master!A:C, 3, TRUE)</f>
        <v>55000</v>
      </c>
      <c r="G111" s="6">
        <f>_xlfn.XLOOKUP(C111, Incentive_Master!A:A, Incentive_Master!D:D,"", 1)</f>
        <v>0.04</v>
      </c>
    </row>
    <row r="112" spans="1:7" x14ac:dyDescent="0.3">
      <c r="A112">
        <v>1100000</v>
      </c>
      <c r="B112">
        <v>1109999</v>
      </c>
      <c r="C112">
        <v>60000</v>
      </c>
      <c r="D112" s="2">
        <v>0.56000000000000005</v>
      </c>
      <c r="E112">
        <f t="shared" si="1"/>
        <v>33600</v>
      </c>
      <c r="F112">
        <f>VLOOKUP(C112, Incentive_Master!A:C, 3, TRUE)</f>
        <v>60000</v>
      </c>
      <c r="G112" s="6">
        <f>_xlfn.XLOOKUP(C112, Incentive_Master!A:A, Incentive_Master!D:D,"", 1)</f>
        <v>0.04</v>
      </c>
    </row>
    <row r="113" spans="1:7" x14ac:dyDescent="0.3">
      <c r="A113">
        <v>1110000</v>
      </c>
      <c r="B113">
        <v>1119999</v>
      </c>
      <c r="C113">
        <v>65000</v>
      </c>
      <c r="D113" s="2">
        <v>0.56999999999999995</v>
      </c>
      <c r="E113">
        <f t="shared" si="1"/>
        <v>37050</v>
      </c>
      <c r="F113">
        <f>VLOOKUP(C113, Incentive_Master!A:C, 3, TRUE)</f>
        <v>60000</v>
      </c>
      <c r="G113" s="6">
        <f>_xlfn.XLOOKUP(C113, Incentive_Master!A:A, Incentive_Master!D:D,"", 1)</f>
        <v>0.05</v>
      </c>
    </row>
    <row r="114" spans="1:7" x14ac:dyDescent="0.3">
      <c r="A114">
        <v>1120000</v>
      </c>
      <c r="B114">
        <v>1129999</v>
      </c>
      <c r="C114">
        <v>70000</v>
      </c>
      <c r="D114" s="2">
        <v>0.56999999999999995</v>
      </c>
      <c r="E114">
        <f t="shared" si="1"/>
        <v>39900</v>
      </c>
      <c r="F114">
        <f>VLOOKUP(C114, Incentive_Master!A:C, 3, TRUE)</f>
        <v>65000</v>
      </c>
      <c r="G114" s="6">
        <f>_xlfn.XLOOKUP(C114, Incentive_Master!A:A, Incentive_Master!D:D,"", 1)</f>
        <v>0.05</v>
      </c>
    </row>
    <row r="115" spans="1:7" x14ac:dyDescent="0.3">
      <c r="A115">
        <v>1130000</v>
      </c>
      <c r="B115">
        <v>1139999</v>
      </c>
      <c r="C115">
        <v>75000</v>
      </c>
      <c r="D115" s="2">
        <v>0.57999999999999996</v>
      </c>
      <c r="E115">
        <f t="shared" si="1"/>
        <v>43500</v>
      </c>
      <c r="F115">
        <f>VLOOKUP(C115, Incentive_Master!A:C, 3, TRUE)</f>
        <v>65000</v>
      </c>
      <c r="G115" s="6">
        <f>_xlfn.XLOOKUP(C115, Incentive_Master!A:A, Incentive_Master!D:D,"", 1)</f>
        <v>0.05</v>
      </c>
    </row>
    <row r="116" spans="1:7" x14ac:dyDescent="0.3">
      <c r="A116">
        <v>1140000</v>
      </c>
      <c r="B116">
        <v>1149999</v>
      </c>
      <c r="C116">
        <v>80000</v>
      </c>
      <c r="D116" s="2">
        <v>0.57999999999999996</v>
      </c>
      <c r="E116">
        <f t="shared" si="1"/>
        <v>46400</v>
      </c>
      <c r="F116">
        <f>VLOOKUP(C116, Incentive_Master!A:C, 3, TRUE)</f>
        <v>70000</v>
      </c>
      <c r="G116" s="6">
        <f>_xlfn.XLOOKUP(C116, Incentive_Master!A:A, Incentive_Master!D:D,"", 1)</f>
        <v>0.05</v>
      </c>
    </row>
    <row r="117" spans="1:7" x14ac:dyDescent="0.3">
      <c r="A117">
        <v>1150000</v>
      </c>
      <c r="B117">
        <v>1159999</v>
      </c>
      <c r="C117">
        <v>85000</v>
      </c>
      <c r="D117" s="2">
        <v>0.59</v>
      </c>
      <c r="E117">
        <f t="shared" si="1"/>
        <v>50150</v>
      </c>
      <c r="F117">
        <f>VLOOKUP(C117, Incentive_Master!A:C, 3, TRUE)</f>
        <v>70000</v>
      </c>
      <c r="G117" s="6">
        <f>_xlfn.XLOOKUP(C117, Incentive_Master!A:A, Incentive_Master!D:D,"", 1)</f>
        <v>0.06</v>
      </c>
    </row>
    <row r="118" spans="1:7" x14ac:dyDescent="0.3">
      <c r="A118">
        <v>1160000</v>
      </c>
      <c r="B118">
        <v>1169999</v>
      </c>
      <c r="C118">
        <v>90000</v>
      </c>
      <c r="D118" s="2">
        <v>0.59</v>
      </c>
      <c r="E118">
        <f t="shared" si="1"/>
        <v>53100</v>
      </c>
      <c r="F118">
        <f>VLOOKUP(C118, Incentive_Master!A:C, 3, TRUE)</f>
        <v>75000</v>
      </c>
      <c r="G118" s="6">
        <f>_xlfn.XLOOKUP(C118, Incentive_Master!A:A, Incentive_Master!D:D,"", 1)</f>
        <v>0.06</v>
      </c>
    </row>
    <row r="119" spans="1:7" x14ac:dyDescent="0.3">
      <c r="A119">
        <v>1170000</v>
      </c>
      <c r="B119">
        <v>1179999</v>
      </c>
      <c r="C119">
        <v>30000</v>
      </c>
      <c r="D119" s="2">
        <v>0.6</v>
      </c>
      <c r="E119">
        <f t="shared" si="1"/>
        <v>18000</v>
      </c>
      <c r="F119">
        <f>VLOOKUP(C119, Incentive_Master!A:C, 3, TRUE)</f>
        <v>45000</v>
      </c>
      <c r="G119" s="6">
        <f>_xlfn.XLOOKUP(C119, Incentive_Master!A:A, Incentive_Master!D:D,"", 1)</f>
        <v>0.03</v>
      </c>
    </row>
    <row r="120" spans="1:7" x14ac:dyDescent="0.3">
      <c r="A120">
        <v>1180000</v>
      </c>
      <c r="B120">
        <v>1189999</v>
      </c>
      <c r="C120">
        <v>35000</v>
      </c>
      <c r="D120" s="2">
        <v>0.6</v>
      </c>
      <c r="E120">
        <f t="shared" si="1"/>
        <v>21000</v>
      </c>
      <c r="F120">
        <f>VLOOKUP(C120, Incentive_Master!A:C, 3, TRUE)</f>
        <v>45000</v>
      </c>
      <c r="G120" s="6">
        <f>_xlfn.XLOOKUP(C120, Incentive_Master!A:A, Incentive_Master!D:D,"", 1)</f>
        <v>0.03</v>
      </c>
    </row>
    <row r="121" spans="1:7" x14ac:dyDescent="0.3">
      <c r="A121">
        <v>1190000</v>
      </c>
      <c r="B121">
        <v>1199999</v>
      </c>
      <c r="C121">
        <v>40000</v>
      </c>
      <c r="D121" s="2">
        <v>0.61</v>
      </c>
      <c r="E121">
        <f t="shared" si="1"/>
        <v>24400</v>
      </c>
      <c r="F121">
        <f>VLOOKUP(C121, Incentive_Master!A:C, 3, TRUE)</f>
        <v>50000</v>
      </c>
      <c r="G121" s="6">
        <f>_xlfn.XLOOKUP(C121, Incentive_Master!A:A, Incentive_Master!D:D,"", 1)</f>
        <v>0.03</v>
      </c>
    </row>
    <row r="122" spans="1:7" x14ac:dyDescent="0.3">
      <c r="A122">
        <v>1200000</v>
      </c>
      <c r="B122">
        <v>1209999</v>
      </c>
      <c r="C122">
        <v>45000</v>
      </c>
      <c r="D122" s="2">
        <v>0.61</v>
      </c>
      <c r="E122">
        <f t="shared" si="1"/>
        <v>27450</v>
      </c>
      <c r="F122">
        <f>VLOOKUP(C122, Incentive_Master!A:C, 3, TRUE)</f>
        <v>50000</v>
      </c>
      <c r="G122" s="6">
        <f>_xlfn.XLOOKUP(C122, Incentive_Master!A:A, Incentive_Master!D:D,"", 1)</f>
        <v>0.04</v>
      </c>
    </row>
    <row r="123" spans="1:7" x14ac:dyDescent="0.3">
      <c r="A123">
        <v>1210000</v>
      </c>
      <c r="B123">
        <v>1219999</v>
      </c>
      <c r="C123">
        <v>50000</v>
      </c>
      <c r="D123" s="2">
        <v>0.62</v>
      </c>
      <c r="E123">
        <f t="shared" si="1"/>
        <v>31000</v>
      </c>
      <c r="F123">
        <f>VLOOKUP(C123, Incentive_Master!A:C, 3, TRUE)</f>
        <v>55000</v>
      </c>
      <c r="G123" s="6">
        <f>_xlfn.XLOOKUP(C123, Incentive_Master!A:A, Incentive_Master!D:D,"", 1)</f>
        <v>0.04</v>
      </c>
    </row>
    <row r="124" spans="1:7" x14ac:dyDescent="0.3">
      <c r="A124">
        <v>1220000</v>
      </c>
      <c r="B124">
        <v>1229999</v>
      </c>
      <c r="C124">
        <v>55000</v>
      </c>
      <c r="D124" s="2">
        <v>0.62</v>
      </c>
      <c r="E124">
        <f t="shared" si="1"/>
        <v>34100</v>
      </c>
      <c r="F124">
        <f>VLOOKUP(C124, Incentive_Master!A:C, 3, TRUE)</f>
        <v>55000</v>
      </c>
      <c r="G124" s="6">
        <f>_xlfn.XLOOKUP(C124, Incentive_Master!A:A, Incentive_Master!D:D,"", 1)</f>
        <v>0.04</v>
      </c>
    </row>
    <row r="125" spans="1:7" x14ac:dyDescent="0.3">
      <c r="A125">
        <v>1230000</v>
      </c>
      <c r="B125">
        <v>1239999</v>
      </c>
      <c r="C125">
        <v>60000</v>
      </c>
      <c r="D125" s="2">
        <v>0.63</v>
      </c>
      <c r="E125">
        <f t="shared" si="1"/>
        <v>37800</v>
      </c>
      <c r="F125">
        <f>VLOOKUP(C125, Incentive_Master!A:C, 3, TRUE)</f>
        <v>60000</v>
      </c>
      <c r="G125" s="6">
        <f>_xlfn.XLOOKUP(C125, Incentive_Master!A:A, Incentive_Master!D:D,"", 1)</f>
        <v>0.04</v>
      </c>
    </row>
    <row r="126" spans="1:7" x14ac:dyDescent="0.3">
      <c r="A126">
        <v>1240000</v>
      </c>
      <c r="B126">
        <v>1249999</v>
      </c>
      <c r="C126">
        <v>65000</v>
      </c>
      <c r="D126" s="2">
        <v>0.63</v>
      </c>
      <c r="E126">
        <f t="shared" si="1"/>
        <v>40950</v>
      </c>
      <c r="F126">
        <f>VLOOKUP(C126, Incentive_Master!A:C, 3, TRUE)</f>
        <v>60000</v>
      </c>
      <c r="G126" s="6">
        <f>_xlfn.XLOOKUP(C126, Incentive_Master!A:A, Incentive_Master!D:D,"", 1)</f>
        <v>0.05</v>
      </c>
    </row>
    <row r="127" spans="1:7" x14ac:dyDescent="0.3">
      <c r="A127">
        <v>1250000</v>
      </c>
      <c r="B127">
        <v>1259999</v>
      </c>
      <c r="C127">
        <v>70000</v>
      </c>
      <c r="D127" s="2">
        <v>0.64</v>
      </c>
      <c r="E127">
        <f t="shared" si="1"/>
        <v>44800</v>
      </c>
      <c r="F127">
        <f>VLOOKUP(C127, Incentive_Master!A:C, 3, TRUE)</f>
        <v>65000</v>
      </c>
      <c r="G127" s="6">
        <f>_xlfn.XLOOKUP(C127, Incentive_Master!A:A, Incentive_Master!D:D,"", 1)</f>
        <v>0.05</v>
      </c>
    </row>
    <row r="128" spans="1:7" x14ac:dyDescent="0.3">
      <c r="A128">
        <v>1260000</v>
      </c>
      <c r="B128">
        <v>1269999</v>
      </c>
      <c r="C128">
        <v>75000</v>
      </c>
      <c r="D128" s="2">
        <v>0.64</v>
      </c>
      <c r="E128">
        <f t="shared" si="1"/>
        <v>48000</v>
      </c>
      <c r="F128">
        <f>VLOOKUP(C128, Incentive_Master!A:C, 3, TRUE)</f>
        <v>65000</v>
      </c>
      <c r="G128" s="6">
        <f>_xlfn.XLOOKUP(C128, Incentive_Master!A:A, Incentive_Master!D:D,"", 1)</f>
        <v>0.05</v>
      </c>
    </row>
    <row r="129" spans="1:7" x14ac:dyDescent="0.3">
      <c r="A129">
        <v>1270000</v>
      </c>
      <c r="B129">
        <v>1279999</v>
      </c>
      <c r="C129">
        <v>80000</v>
      </c>
      <c r="D129" s="2">
        <v>0.65</v>
      </c>
      <c r="E129">
        <f t="shared" si="1"/>
        <v>52000</v>
      </c>
      <c r="F129">
        <f>VLOOKUP(C129, Incentive_Master!A:C, 3, TRUE)</f>
        <v>70000</v>
      </c>
      <c r="G129" s="6">
        <f>_xlfn.XLOOKUP(C129, Incentive_Master!A:A, Incentive_Master!D:D,"", 1)</f>
        <v>0.05</v>
      </c>
    </row>
    <row r="130" spans="1:7" x14ac:dyDescent="0.3">
      <c r="A130">
        <v>1280000</v>
      </c>
      <c r="B130">
        <v>1289999</v>
      </c>
      <c r="C130">
        <v>85000</v>
      </c>
      <c r="D130" s="2">
        <v>0.65</v>
      </c>
      <c r="E130">
        <f t="shared" si="1"/>
        <v>55250</v>
      </c>
      <c r="F130">
        <f>VLOOKUP(C130, Incentive_Master!A:C, 3, TRUE)</f>
        <v>70000</v>
      </c>
      <c r="G130" s="6">
        <f>_xlfn.XLOOKUP(C130, Incentive_Master!A:A, Incentive_Master!D:D,"", 1)</f>
        <v>0.06</v>
      </c>
    </row>
    <row r="131" spans="1:7" x14ac:dyDescent="0.3">
      <c r="A131">
        <v>1290000</v>
      </c>
      <c r="B131">
        <v>1299999</v>
      </c>
      <c r="C131">
        <v>90000</v>
      </c>
      <c r="D131" s="2">
        <v>0.66</v>
      </c>
      <c r="E131">
        <f t="shared" ref="E131:E151" si="2">C131*D131</f>
        <v>59400</v>
      </c>
      <c r="F131">
        <f>VLOOKUP(C131, Incentive_Master!A:C, 3, TRUE)</f>
        <v>75000</v>
      </c>
      <c r="G131" s="6">
        <f>_xlfn.XLOOKUP(C131, Incentive_Master!A:A, Incentive_Master!D:D,"", 1)</f>
        <v>0.06</v>
      </c>
    </row>
    <row r="132" spans="1:7" x14ac:dyDescent="0.3">
      <c r="A132">
        <v>1300000</v>
      </c>
      <c r="B132">
        <v>1309999</v>
      </c>
      <c r="C132">
        <v>30000</v>
      </c>
      <c r="D132" s="2">
        <v>0.66</v>
      </c>
      <c r="E132">
        <f t="shared" si="2"/>
        <v>19800</v>
      </c>
      <c r="F132">
        <f>VLOOKUP(C132, Incentive_Master!A:C, 3, TRUE)</f>
        <v>45000</v>
      </c>
      <c r="G132" s="6">
        <f>_xlfn.XLOOKUP(C132, Incentive_Master!A:A, Incentive_Master!D:D,"", 1)</f>
        <v>0.03</v>
      </c>
    </row>
    <row r="133" spans="1:7" x14ac:dyDescent="0.3">
      <c r="A133">
        <v>1310000</v>
      </c>
      <c r="B133">
        <v>1319999</v>
      </c>
      <c r="C133">
        <v>35000</v>
      </c>
      <c r="D133" s="2">
        <v>0.67</v>
      </c>
      <c r="E133">
        <f t="shared" si="2"/>
        <v>23450</v>
      </c>
      <c r="F133">
        <f>VLOOKUP(C133, Incentive_Master!A:C, 3, TRUE)</f>
        <v>45000</v>
      </c>
      <c r="G133" s="6">
        <f>_xlfn.XLOOKUP(C133, Incentive_Master!A:A, Incentive_Master!D:D,"", 1)</f>
        <v>0.03</v>
      </c>
    </row>
    <row r="134" spans="1:7" x14ac:dyDescent="0.3">
      <c r="A134">
        <v>1320000</v>
      </c>
      <c r="B134">
        <v>1329999</v>
      </c>
      <c r="C134">
        <v>40000</v>
      </c>
      <c r="D134" s="2">
        <v>0.67</v>
      </c>
      <c r="E134">
        <f t="shared" si="2"/>
        <v>26800</v>
      </c>
      <c r="F134">
        <f>VLOOKUP(C134, Incentive_Master!A:C, 3, TRUE)</f>
        <v>50000</v>
      </c>
      <c r="G134" s="6">
        <f>_xlfn.XLOOKUP(C134, Incentive_Master!A:A, Incentive_Master!D:D,"", 1)</f>
        <v>0.03</v>
      </c>
    </row>
    <row r="135" spans="1:7" x14ac:dyDescent="0.3">
      <c r="A135">
        <v>1330000</v>
      </c>
      <c r="B135">
        <v>1339999</v>
      </c>
      <c r="C135">
        <v>45000</v>
      </c>
      <c r="D135" s="2">
        <v>0.68</v>
      </c>
      <c r="E135">
        <f t="shared" si="2"/>
        <v>30600.000000000004</v>
      </c>
      <c r="F135">
        <f>VLOOKUP(C135, Incentive_Master!A:C, 3, TRUE)</f>
        <v>50000</v>
      </c>
      <c r="G135" s="6">
        <f>_xlfn.XLOOKUP(C135, Incentive_Master!A:A, Incentive_Master!D:D,"", 1)</f>
        <v>0.04</v>
      </c>
    </row>
    <row r="136" spans="1:7" x14ac:dyDescent="0.3">
      <c r="A136">
        <v>1340000</v>
      </c>
      <c r="B136">
        <v>1349999</v>
      </c>
      <c r="C136">
        <v>50000</v>
      </c>
      <c r="D136" s="2">
        <v>0.68</v>
      </c>
      <c r="E136">
        <f t="shared" si="2"/>
        <v>34000</v>
      </c>
      <c r="F136">
        <f>VLOOKUP(C136, Incentive_Master!A:C, 3, TRUE)</f>
        <v>55000</v>
      </c>
      <c r="G136" s="6">
        <f>_xlfn.XLOOKUP(C136, Incentive_Master!A:A, Incentive_Master!D:D,"", 1)</f>
        <v>0.04</v>
      </c>
    </row>
    <row r="137" spans="1:7" x14ac:dyDescent="0.3">
      <c r="A137">
        <v>1350000</v>
      </c>
      <c r="B137">
        <v>1359999</v>
      </c>
      <c r="C137">
        <v>55000</v>
      </c>
      <c r="D137" s="2">
        <v>0.69</v>
      </c>
      <c r="E137">
        <f t="shared" si="2"/>
        <v>37950</v>
      </c>
      <c r="F137">
        <f>VLOOKUP(C137, Incentive_Master!A:C, 3, TRUE)</f>
        <v>55000</v>
      </c>
      <c r="G137" s="6">
        <f>_xlfn.XLOOKUP(C137, Incentive_Master!A:A, Incentive_Master!D:D,"", 1)</f>
        <v>0.04</v>
      </c>
    </row>
    <row r="138" spans="1:7" x14ac:dyDescent="0.3">
      <c r="A138">
        <v>1360000</v>
      </c>
      <c r="B138">
        <v>1369999</v>
      </c>
      <c r="C138">
        <v>60000</v>
      </c>
      <c r="D138" s="2">
        <v>0.69</v>
      </c>
      <c r="E138">
        <f t="shared" si="2"/>
        <v>41400</v>
      </c>
      <c r="F138">
        <f>VLOOKUP(C138, Incentive_Master!A:C, 3, TRUE)</f>
        <v>60000</v>
      </c>
      <c r="G138" s="6">
        <f>_xlfn.XLOOKUP(C138, Incentive_Master!A:A, Incentive_Master!D:D,"", 1)</f>
        <v>0.04</v>
      </c>
    </row>
    <row r="139" spans="1:7" x14ac:dyDescent="0.3">
      <c r="A139">
        <v>1370000</v>
      </c>
      <c r="B139">
        <v>1379999</v>
      </c>
      <c r="C139">
        <v>65000</v>
      </c>
      <c r="D139" s="2">
        <v>0.7</v>
      </c>
      <c r="E139">
        <f t="shared" si="2"/>
        <v>45500</v>
      </c>
      <c r="F139">
        <f>VLOOKUP(C139, Incentive_Master!A:C, 3, TRUE)</f>
        <v>60000</v>
      </c>
      <c r="G139" s="6">
        <f>_xlfn.XLOOKUP(C139, Incentive_Master!A:A, Incentive_Master!D:D,"", 1)</f>
        <v>0.05</v>
      </c>
    </row>
    <row r="140" spans="1:7" x14ac:dyDescent="0.3">
      <c r="A140">
        <v>1380000</v>
      </c>
      <c r="B140">
        <v>1389999</v>
      </c>
      <c r="C140">
        <v>70000</v>
      </c>
      <c r="D140" s="2">
        <v>0.7</v>
      </c>
      <c r="E140">
        <f t="shared" si="2"/>
        <v>49000</v>
      </c>
      <c r="F140">
        <f>VLOOKUP(C140, Incentive_Master!A:C, 3, TRUE)</f>
        <v>65000</v>
      </c>
      <c r="G140" s="6">
        <f>_xlfn.XLOOKUP(C140, Incentive_Master!A:A, Incentive_Master!D:D,"", 1)</f>
        <v>0.05</v>
      </c>
    </row>
    <row r="141" spans="1:7" x14ac:dyDescent="0.3">
      <c r="A141">
        <v>1390000</v>
      </c>
      <c r="B141">
        <v>1399999</v>
      </c>
      <c r="C141">
        <v>75000</v>
      </c>
      <c r="D141" s="2">
        <v>0.71</v>
      </c>
      <c r="E141">
        <f t="shared" si="2"/>
        <v>53250</v>
      </c>
      <c r="F141">
        <f>VLOOKUP(C141, Incentive_Master!A:C, 3, TRUE)</f>
        <v>65000</v>
      </c>
      <c r="G141" s="6">
        <f>_xlfn.XLOOKUP(C141, Incentive_Master!A:A, Incentive_Master!D:D,"", 1)</f>
        <v>0.05</v>
      </c>
    </row>
    <row r="142" spans="1:7" x14ac:dyDescent="0.3">
      <c r="A142">
        <v>1400000</v>
      </c>
      <c r="B142">
        <v>1409999</v>
      </c>
      <c r="C142">
        <v>80000</v>
      </c>
      <c r="D142" s="2">
        <v>0.71</v>
      </c>
      <c r="E142">
        <f t="shared" si="2"/>
        <v>56800</v>
      </c>
      <c r="F142">
        <f>VLOOKUP(C142, Incentive_Master!A:C, 3, TRUE)</f>
        <v>70000</v>
      </c>
      <c r="G142" s="6">
        <f>_xlfn.XLOOKUP(C142, Incentive_Master!A:A, Incentive_Master!D:D,"", 1)</f>
        <v>0.05</v>
      </c>
    </row>
    <row r="143" spans="1:7" x14ac:dyDescent="0.3">
      <c r="A143">
        <v>1410000</v>
      </c>
      <c r="B143">
        <v>1419999</v>
      </c>
      <c r="C143">
        <v>85000</v>
      </c>
      <c r="D143" s="2">
        <v>0.72</v>
      </c>
      <c r="E143">
        <f t="shared" si="2"/>
        <v>61200</v>
      </c>
      <c r="F143">
        <f>VLOOKUP(C143, Incentive_Master!A:C, 3, TRUE)</f>
        <v>70000</v>
      </c>
      <c r="G143" s="6">
        <f>_xlfn.XLOOKUP(C143, Incentive_Master!A:A, Incentive_Master!D:D,"", 1)</f>
        <v>0.06</v>
      </c>
    </row>
    <row r="144" spans="1:7" x14ac:dyDescent="0.3">
      <c r="A144">
        <v>1420000</v>
      </c>
      <c r="B144">
        <v>1429999</v>
      </c>
      <c r="C144">
        <v>90000</v>
      </c>
      <c r="D144" s="2">
        <v>0.72</v>
      </c>
      <c r="E144">
        <f t="shared" si="2"/>
        <v>64800</v>
      </c>
      <c r="F144">
        <f>VLOOKUP(C144, Incentive_Master!A:C, 3, TRUE)</f>
        <v>75000</v>
      </c>
      <c r="G144" s="6">
        <f>_xlfn.XLOOKUP(C144, Incentive_Master!A:A, Incentive_Master!D:D,"", 1)</f>
        <v>0.06</v>
      </c>
    </row>
    <row r="145" spans="1:7" x14ac:dyDescent="0.3">
      <c r="A145">
        <v>1430000</v>
      </c>
      <c r="B145">
        <v>1439999</v>
      </c>
      <c r="C145">
        <v>30000</v>
      </c>
      <c r="D145" s="2">
        <v>0.73</v>
      </c>
      <c r="E145">
        <f t="shared" si="2"/>
        <v>21900</v>
      </c>
      <c r="F145">
        <f>VLOOKUP(C145, Incentive_Master!A:C, 3, TRUE)</f>
        <v>45000</v>
      </c>
      <c r="G145" s="6">
        <f>_xlfn.XLOOKUP(C145, Incentive_Master!A:A, Incentive_Master!D:D,"", 1)</f>
        <v>0.03</v>
      </c>
    </row>
    <row r="146" spans="1:7" x14ac:dyDescent="0.3">
      <c r="A146">
        <v>1440000</v>
      </c>
      <c r="B146">
        <v>1449999</v>
      </c>
      <c r="C146">
        <v>35000</v>
      </c>
      <c r="D146" s="2">
        <v>0.73</v>
      </c>
      <c r="E146">
        <f t="shared" si="2"/>
        <v>25550</v>
      </c>
      <c r="F146">
        <f>VLOOKUP(C146, Incentive_Master!A:C, 3, TRUE)</f>
        <v>45000</v>
      </c>
      <c r="G146" s="6">
        <f>_xlfn.XLOOKUP(C146, Incentive_Master!A:A, Incentive_Master!D:D,"", 1)</f>
        <v>0.03</v>
      </c>
    </row>
    <row r="147" spans="1:7" x14ac:dyDescent="0.3">
      <c r="A147">
        <v>1450000</v>
      </c>
      <c r="B147">
        <v>1459999</v>
      </c>
      <c r="C147">
        <v>40000</v>
      </c>
      <c r="D147" s="2">
        <v>0.74</v>
      </c>
      <c r="E147">
        <f t="shared" si="2"/>
        <v>29600</v>
      </c>
      <c r="F147">
        <f>VLOOKUP(C147, Incentive_Master!A:C, 3, TRUE)</f>
        <v>50000</v>
      </c>
      <c r="G147" s="6">
        <f>_xlfn.XLOOKUP(C147, Incentive_Master!A:A, Incentive_Master!D:D,"", 1)</f>
        <v>0.03</v>
      </c>
    </row>
    <row r="148" spans="1:7" x14ac:dyDescent="0.3">
      <c r="A148">
        <v>1460000</v>
      </c>
      <c r="B148">
        <v>1469999</v>
      </c>
      <c r="C148">
        <v>45000</v>
      </c>
      <c r="D148" s="2">
        <v>0.74</v>
      </c>
      <c r="E148">
        <f t="shared" si="2"/>
        <v>33300</v>
      </c>
      <c r="F148">
        <f>VLOOKUP(C148, Incentive_Master!A:C, 3, TRUE)</f>
        <v>50000</v>
      </c>
      <c r="G148" s="6">
        <f>_xlfn.XLOOKUP(C148, Incentive_Master!A:A, Incentive_Master!D:D,"", 1)</f>
        <v>0.04</v>
      </c>
    </row>
    <row r="149" spans="1:7" x14ac:dyDescent="0.3">
      <c r="A149">
        <v>1470000</v>
      </c>
      <c r="B149">
        <v>1479999</v>
      </c>
      <c r="C149">
        <v>50000</v>
      </c>
      <c r="D149" s="2">
        <v>0.75</v>
      </c>
      <c r="E149">
        <f t="shared" si="2"/>
        <v>37500</v>
      </c>
      <c r="F149">
        <f>VLOOKUP(C149, Incentive_Master!A:C, 3, TRUE)</f>
        <v>55000</v>
      </c>
      <c r="G149" s="6">
        <f>_xlfn.XLOOKUP(C149, Incentive_Master!A:A, Incentive_Master!D:D,"", 1)</f>
        <v>0.04</v>
      </c>
    </row>
    <row r="150" spans="1:7" x14ac:dyDescent="0.3">
      <c r="A150">
        <v>1480000</v>
      </c>
      <c r="B150">
        <v>1489999</v>
      </c>
      <c r="C150">
        <v>55000</v>
      </c>
      <c r="D150" s="2">
        <v>0.75</v>
      </c>
      <c r="E150">
        <f t="shared" si="2"/>
        <v>41250</v>
      </c>
      <c r="F150">
        <f>VLOOKUP(C150, Incentive_Master!A:C, 3, TRUE)</f>
        <v>55000</v>
      </c>
      <c r="G150" s="6">
        <f>_xlfn.XLOOKUP(C150, Incentive_Master!A:A, Incentive_Master!D:D,"", 1)</f>
        <v>0.04</v>
      </c>
    </row>
    <row r="151" spans="1:7" x14ac:dyDescent="0.3">
      <c r="A151">
        <v>1490000</v>
      </c>
      <c r="B151">
        <v>1499999</v>
      </c>
      <c r="C151">
        <v>60000</v>
      </c>
      <c r="D151" s="2">
        <v>0.76</v>
      </c>
      <c r="E151">
        <f t="shared" si="2"/>
        <v>45600</v>
      </c>
      <c r="F151">
        <f>VLOOKUP(C151, Incentive_Master!A:C, 3, TRUE)</f>
        <v>60000</v>
      </c>
      <c r="G151" s="6">
        <f>_xlfn.XLOOKUP(C151, Incentive_Master!A:A, Incentive_Master!D:D,"", 1)</f>
        <v>0.04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1"/>
  <sheetViews>
    <sheetView workbookViewId="0"/>
  </sheetViews>
  <sheetFormatPr defaultColWidth="20.77734375" defaultRowHeight="14.4" x14ac:dyDescent="0.3"/>
  <cols>
    <col min="2" max="2" width="30.5546875" bestFit="1" customWidth="1"/>
    <col min="8" max="8" width="20.77734375" style="12"/>
  </cols>
  <sheetData>
    <row r="1" spans="1:3" s="10" customFormat="1" ht="16.8" customHeight="1" x14ac:dyDescent="0.3">
      <c r="A1" s="9" t="s">
        <v>2</v>
      </c>
      <c r="B1" s="14" t="s">
        <v>329</v>
      </c>
      <c r="C1" s="9"/>
    </row>
    <row r="2" spans="1:3" x14ac:dyDescent="0.3">
      <c r="A2" t="s">
        <v>19</v>
      </c>
      <c r="B2" s="12">
        <f>SUMIF(Sales_Data!D:D, A2, Sales_Data!G:G)</f>
        <v>2215000</v>
      </c>
      <c r="C2" s="2"/>
    </row>
    <row r="3" spans="1:3" x14ac:dyDescent="0.3">
      <c r="A3" t="s">
        <v>15</v>
      </c>
      <c r="B3" s="12">
        <f>SUMIF(Sales_Data!D:D, A3, Sales_Data!G:G)</f>
        <v>2190000</v>
      </c>
      <c r="C3" s="2"/>
    </row>
    <row r="4" spans="1:3" x14ac:dyDescent="0.3">
      <c r="A4" t="s">
        <v>7</v>
      </c>
      <c r="B4" s="12">
        <f>SUMIF(Sales_Data!D:D, A4, Sales_Data!G:G)</f>
        <v>2195000</v>
      </c>
      <c r="C4" s="2"/>
    </row>
    <row r="5" spans="1:3" x14ac:dyDescent="0.3">
      <c r="A5" t="s">
        <v>11</v>
      </c>
      <c r="B5" s="12">
        <f>SUMIF(Sales_Data!D:D, A5, Sales_Data!G:G)</f>
        <v>2295000</v>
      </c>
      <c r="C5" s="2"/>
    </row>
    <row r="6" spans="1:3" x14ac:dyDescent="0.3">
      <c r="C6" s="2"/>
    </row>
    <row r="7" spans="1:3" x14ac:dyDescent="0.3">
      <c r="C7" s="2"/>
    </row>
    <row r="8" spans="1:3" x14ac:dyDescent="0.3">
      <c r="C8" s="2"/>
    </row>
    <row r="9" spans="1:3" x14ac:dyDescent="0.3">
      <c r="C9" s="2"/>
    </row>
    <row r="10" spans="1:3" x14ac:dyDescent="0.3">
      <c r="C10" s="2"/>
    </row>
    <row r="11" spans="1:3" x14ac:dyDescent="0.3">
      <c r="C11" s="2"/>
    </row>
    <row r="12" spans="1:3" x14ac:dyDescent="0.3">
      <c r="C12" s="2"/>
    </row>
    <row r="13" spans="1:3" x14ac:dyDescent="0.3">
      <c r="C13" s="2"/>
    </row>
    <row r="14" spans="1:3" x14ac:dyDescent="0.3">
      <c r="C14" s="2"/>
    </row>
    <row r="15" spans="1:3" x14ac:dyDescent="0.3">
      <c r="C15" s="2"/>
    </row>
    <row r="16" spans="1:3" x14ac:dyDescent="0.3">
      <c r="C16" s="2"/>
    </row>
    <row r="17" spans="3:3" x14ac:dyDescent="0.3">
      <c r="C17" s="2"/>
    </row>
    <row r="18" spans="3:3" x14ac:dyDescent="0.3">
      <c r="C18" s="2"/>
    </row>
    <row r="19" spans="3:3" x14ac:dyDescent="0.3">
      <c r="C19" s="2"/>
    </row>
    <row r="20" spans="3:3" x14ac:dyDescent="0.3">
      <c r="C20" s="2"/>
    </row>
    <row r="21" spans="3:3" x14ac:dyDescent="0.3">
      <c r="C21" s="2"/>
    </row>
    <row r="22" spans="3:3" x14ac:dyDescent="0.3">
      <c r="C22" s="2"/>
    </row>
    <row r="23" spans="3:3" x14ac:dyDescent="0.3">
      <c r="C23" s="2"/>
    </row>
    <row r="24" spans="3:3" x14ac:dyDescent="0.3">
      <c r="C24" s="2"/>
    </row>
    <row r="25" spans="3:3" x14ac:dyDescent="0.3">
      <c r="C25" s="2"/>
    </row>
    <row r="26" spans="3:3" x14ac:dyDescent="0.3">
      <c r="C26" s="2"/>
    </row>
    <row r="27" spans="3:3" x14ac:dyDescent="0.3">
      <c r="C27" s="2"/>
    </row>
    <row r="28" spans="3:3" x14ac:dyDescent="0.3">
      <c r="C28" s="2"/>
    </row>
    <row r="29" spans="3:3" x14ac:dyDescent="0.3">
      <c r="C29" s="2"/>
    </row>
    <row r="30" spans="3:3" x14ac:dyDescent="0.3">
      <c r="C30" s="2"/>
    </row>
    <row r="31" spans="3:3" x14ac:dyDescent="0.3">
      <c r="C31" s="2"/>
    </row>
    <row r="32" spans="3:3" x14ac:dyDescent="0.3">
      <c r="C32" s="2"/>
    </row>
    <row r="33" spans="3:3" x14ac:dyDescent="0.3">
      <c r="C33" s="2"/>
    </row>
    <row r="34" spans="3:3" x14ac:dyDescent="0.3">
      <c r="C34" s="2"/>
    </row>
    <row r="35" spans="3:3" x14ac:dyDescent="0.3">
      <c r="C35" s="2"/>
    </row>
    <row r="36" spans="3:3" x14ac:dyDescent="0.3">
      <c r="C36" s="2"/>
    </row>
    <row r="37" spans="3:3" x14ac:dyDescent="0.3">
      <c r="C37" s="2"/>
    </row>
    <row r="38" spans="3:3" x14ac:dyDescent="0.3">
      <c r="C38" s="2"/>
    </row>
    <row r="39" spans="3:3" x14ac:dyDescent="0.3">
      <c r="C39" s="2"/>
    </row>
    <row r="40" spans="3:3" x14ac:dyDescent="0.3">
      <c r="C40" s="2"/>
    </row>
    <row r="41" spans="3:3" x14ac:dyDescent="0.3">
      <c r="C41" s="2"/>
    </row>
    <row r="42" spans="3:3" x14ac:dyDescent="0.3">
      <c r="C42" s="2"/>
    </row>
    <row r="43" spans="3:3" x14ac:dyDescent="0.3">
      <c r="C43" s="2"/>
    </row>
    <row r="44" spans="3:3" x14ac:dyDescent="0.3">
      <c r="C44" s="2"/>
    </row>
    <row r="45" spans="3:3" x14ac:dyDescent="0.3">
      <c r="C45" s="2"/>
    </row>
    <row r="46" spans="3:3" x14ac:dyDescent="0.3">
      <c r="C46" s="2"/>
    </row>
    <row r="47" spans="3:3" x14ac:dyDescent="0.3">
      <c r="C47" s="2"/>
    </row>
    <row r="48" spans="3:3" x14ac:dyDescent="0.3">
      <c r="C48" s="2"/>
    </row>
    <row r="49" spans="3:3" x14ac:dyDescent="0.3">
      <c r="C49" s="2"/>
    </row>
    <row r="50" spans="3:3" x14ac:dyDescent="0.3">
      <c r="C50" s="2"/>
    </row>
    <row r="51" spans="3:3" x14ac:dyDescent="0.3">
      <c r="C51" s="2"/>
    </row>
    <row r="52" spans="3:3" x14ac:dyDescent="0.3">
      <c r="C52" s="2"/>
    </row>
    <row r="53" spans="3:3" x14ac:dyDescent="0.3">
      <c r="C53" s="2"/>
    </row>
    <row r="54" spans="3:3" x14ac:dyDescent="0.3">
      <c r="C54" s="2"/>
    </row>
    <row r="55" spans="3:3" x14ac:dyDescent="0.3">
      <c r="C55" s="2"/>
    </row>
    <row r="56" spans="3:3" x14ac:dyDescent="0.3">
      <c r="C56" s="2"/>
    </row>
    <row r="57" spans="3:3" x14ac:dyDescent="0.3">
      <c r="C57" s="2"/>
    </row>
    <row r="58" spans="3:3" x14ac:dyDescent="0.3">
      <c r="C58" s="2"/>
    </row>
    <row r="59" spans="3:3" x14ac:dyDescent="0.3">
      <c r="C59" s="2"/>
    </row>
    <row r="60" spans="3:3" x14ac:dyDescent="0.3">
      <c r="C60" s="2"/>
    </row>
    <row r="61" spans="3:3" x14ac:dyDescent="0.3">
      <c r="C61" s="2"/>
    </row>
    <row r="62" spans="3:3" x14ac:dyDescent="0.3">
      <c r="C62" s="2"/>
    </row>
    <row r="63" spans="3:3" x14ac:dyDescent="0.3">
      <c r="C63" s="2"/>
    </row>
    <row r="64" spans="3:3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  <row r="106" spans="3:3" x14ac:dyDescent="0.3">
      <c r="C106" s="2"/>
    </row>
    <row r="107" spans="3:3" x14ac:dyDescent="0.3">
      <c r="C107" s="2"/>
    </row>
    <row r="108" spans="3:3" x14ac:dyDescent="0.3">
      <c r="C108" s="2"/>
    </row>
    <row r="109" spans="3:3" x14ac:dyDescent="0.3">
      <c r="C109" s="2"/>
    </row>
    <row r="110" spans="3:3" x14ac:dyDescent="0.3">
      <c r="C110" s="2"/>
    </row>
    <row r="111" spans="3:3" x14ac:dyDescent="0.3">
      <c r="C111" s="2"/>
    </row>
    <row r="112" spans="3:3" x14ac:dyDescent="0.3">
      <c r="C112" s="2"/>
    </row>
    <row r="113" spans="3:3" x14ac:dyDescent="0.3">
      <c r="C113" s="2"/>
    </row>
    <row r="114" spans="3:3" x14ac:dyDescent="0.3">
      <c r="C114" s="2"/>
    </row>
    <row r="115" spans="3:3" x14ac:dyDescent="0.3">
      <c r="C115" s="2"/>
    </row>
    <row r="116" spans="3:3" x14ac:dyDescent="0.3">
      <c r="C116" s="2"/>
    </row>
    <row r="117" spans="3:3" x14ac:dyDescent="0.3">
      <c r="C117" s="2"/>
    </row>
    <row r="118" spans="3:3" x14ac:dyDescent="0.3">
      <c r="C118" s="2"/>
    </row>
    <row r="119" spans="3:3" x14ac:dyDescent="0.3">
      <c r="C119" s="2"/>
    </row>
    <row r="120" spans="3:3" x14ac:dyDescent="0.3">
      <c r="C120" s="2"/>
    </row>
    <row r="121" spans="3:3" x14ac:dyDescent="0.3">
      <c r="C121" s="2"/>
    </row>
    <row r="122" spans="3:3" x14ac:dyDescent="0.3">
      <c r="C122" s="2"/>
    </row>
    <row r="123" spans="3:3" x14ac:dyDescent="0.3">
      <c r="C123" s="2"/>
    </row>
    <row r="124" spans="3:3" x14ac:dyDescent="0.3">
      <c r="C124" s="2"/>
    </row>
    <row r="125" spans="3:3" x14ac:dyDescent="0.3">
      <c r="C125" s="2"/>
    </row>
    <row r="126" spans="3:3" x14ac:dyDescent="0.3">
      <c r="C126" s="2"/>
    </row>
    <row r="127" spans="3:3" x14ac:dyDescent="0.3">
      <c r="C127" s="2"/>
    </row>
    <row r="128" spans="3:3" x14ac:dyDescent="0.3">
      <c r="C128" s="2"/>
    </row>
    <row r="129" spans="3:3" x14ac:dyDescent="0.3">
      <c r="C129" s="2"/>
    </row>
    <row r="130" spans="3:3" x14ac:dyDescent="0.3">
      <c r="C130" s="2"/>
    </row>
    <row r="131" spans="3:3" x14ac:dyDescent="0.3">
      <c r="C131" s="2"/>
    </row>
    <row r="132" spans="3:3" x14ac:dyDescent="0.3">
      <c r="C132" s="2"/>
    </row>
    <row r="133" spans="3:3" x14ac:dyDescent="0.3">
      <c r="C133" s="2"/>
    </row>
    <row r="134" spans="3:3" x14ac:dyDescent="0.3">
      <c r="C134" s="2"/>
    </row>
    <row r="135" spans="3:3" x14ac:dyDescent="0.3">
      <c r="C135" s="2"/>
    </row>
    <row r="136" spans="3:3" x14ac:dyDescent="0.3">
      <c r="C136" s="2"/>
    </row>
    <row r="137" spans="3:3" x14ac:dyDescent="0.3">
      <c r="C137" s="2"/>
    </row>
    <row r="138" spans="3:3" x14ac:dyDescent="0.3">
      <c r="C138" s="2"/>
    </row>
    <row r="139" spans="3:3" x14ac:dyDescent="0.3">
      <c r="C139" s="2"/>
    </row>
    <row r="140" spans="3:3" x14ac:dyDescent="0.3">
      <c r="C140" s="2"/>
    </row>
    <row r="141" spans="3:3" x14ac:dyDescent="0.3">
      <c r="C141" s="2"/>
    </row>
    <row r="142" spans="3:3" x14ac:dyDescent="0.3">
      <c r="C142" s="2"/>
    </row>
    <row r="143" spans="3:3" x14ac:dyDescent="0.3">
      <c r="C143" s="2"/>
    </row>
    <row r="144" spans="3:3" x14ac:dyDescent="0.3">
      <c r="C144" s="2"/>
    </row>
    <row r="145" spans="3:3" x14ac:dyDescent="0.3">
      <c r="C145" s="2"/>
    </row>
    <row r="146" spans="3:3" x14ac:dyDescent="0.3">
      <c r="C146" s="2"/>
    </row>
    <row r="147" spans="3:3" x14ac:dyDescent="0.3">
      <c r="C147" s="2"/>
    </row>
    <row r="148" spans="3:3" x14ac:dyDescent="0.3">
      <c r="C148" s="2"/>
    </row>
    <row r="149" spans="3:3" x14ac:dyDescent="0.3">
      <c r="C149" s="2"/>
    </row>
    <row r="150" spans="3:3" x14ac:dyDescent="0.3">
      <c r="C150" s="2"/>
    </row>
    <row r="151" spans="3:3" x14ac:dyDescent="0.3">
      <c r="C151" s="2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D237-9DD4-4FD6-9CEC-9354C5711C2C}">
  <dimension ref="A1:B5"/>
  <sheetViews>
    <sheetView workbookViewId="0"/>
  </sheetViews>
  <sheetFormatPr defaultRowHeight="14.4" x14ac:dyDescent="0.3"/>
  <cols>
    <col min="1" max="1" width="11" bestFit="1" customWidth="1"/>
    <col min="2" max="2" width="14.77734375" bestFit="1" customWidth="1"/>
  </cols>
  <sheetData>
    <row r="1" spans="1:2" ht="17.399999999999999" x14ac:dyDescent="0.3">
      <c r="A1" s="9" t="s">
        <v>3</v>
      </c>
      <c r="B1" s="14" t="s">
        <v>329</v>
      </c>
    </row>
    <row r="2" spans="1:2" x14ac:dyDescent="0.3">
      <c r="A2" t="s">
        <v>8</v>
      </c>
      <c r="B2" s="12">
        <f>SUMIF(Sales_Data!E:E, A2, Sales_Data!G:G)</f>
        <v>2265000</v>
      </c>
    </row>
    <row r="3" spans="1:2" x14ac:dyDescent="0.3">
      <c r="A3" t="s">
        <v>12</v>
      </c>
      <c r="B3" s="12">
        <f>SUMIF(Sales_Data!E:E, A3, Sales_Data!G:G)</f>
        <v>2260000</v>
      </c>
    </row>
    <row r="4" spans="1:2" x14ac:dyDescent="0.3">
      <c r="A4" t="s">
        <v>16</v>
      </c>
      <c r="B4" s="12">
        <f>SUMIF(Sales_Data!E:E, A4, Sales_Data!G:G)</f>
        <v>2190000</v>
      </c>
    </row>
    <row r="5" spans="1:2" x14ac:dyDescent="0.3">
      <c r="A5" t="s">
        <v>20</v>
      </c>
      <c r="B5" s="12">
        <f>SUMIF(Sales_Data!E:E, A5, Sales_Data!G:G)</f>
        <v>2180000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6CCC-DCF6-4CE3-9190-06930C7E2108}">
  <dimension ref="A1:B3"/>
  <sheetViews>
    <sheetView workbookViewId="0"/>
  </sheetViews>
  <sheetFormatPr defaultRowHeight="14.4" x14ac:dyDescent="0.3"/>
  <cols>
    <col min="1" max="1" width="9.21875" bestFit="1" customWidth="1"/>
    <col min="2" max="2" width="12.88671875" bestFit="1" customWidth="1"/>
  </cols>
  <sheetData>
    <row r="1" spans="1:2" ht="17.399999999999999" x14ac:dyDescent="0.3">
      <c r="A1" s="11" t="s">
        <v>296</v>
      </c>
      <c r="B1" s="13" t="s">
        <v>329</v>
      </c>
    </row>
    <row r="2" spans="1:2" x14ac:dyDescent="0.3">
      <c r="A2" t="s">
        <v>321</v>
      </c>
      <c r="B2" s="12">
        <f>SUMIF(Sales_Data!C:C, A2, Sales_Data!G:G)</f>
        <v>4455000</v>
      </c>
    </row>
    <row r="3" spans="1:2" x14ac:dyDescent="0.3">
      <c r="A3" t="s">
        <v>322</v>
      </c>
      <c r="B3" s="12">
        <f>SUMIF(Sales_Data!C:C, A3, Sales_Data!G:G)</f>
        <v>4440000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48A3-891B-4CDB-87FE-9B6CE42B7620}">
  <dimension ref="A1:B7"/>
  <sheetViews>
    <sheetView workbookViewId="0"/>
  </sheetViews>
  <sheetFormatPr defaultRowHeight="14.4" x14ac:dyDescent="0.3"/>
  <cols>
    <col min="1" max="1" width="8.21875" bestFit="1" customWidth="1"/>
    <col min="2" max="2" width="13" bestFit="1" customWidth="1"/>
  </cols>
  <sheetData>
    <row r="1" spans="1:2" ht="17.399999999999999" x14ac:dyDescent="0.3">
      <c r="A1" s="11" t="s">
        <v>4</v>
      </c>
      <c r="B1" s="11" t="s">
        <v>330</v>
      </c>
    </row>
    <row r="2" spans="1:2" x14ac:dyDescent="0.3">
      <c r="A2" t="s">
        <v>9</v>
      </c>
      <c r="B2" s="12">
        <f>SUMIF(Sales_Data!F:F, A2, Sales_Data!G:G)</f>
        <v>1495000</v>
      </c>
    </row>
    <row r="3" spans="1:2" x14ac:dyDescent="0.3">
      <c r="A3" t="s">
        <v>13</v>
      </c>
      <c r="B3" s="12">
        <f>SUMIF(Sales_Data!F:F, A3, Sales_Data!G:G)</f>
        <v>1490000</v>
      </c>
    </row>
    <row r="4" spans="1:2" x14ac:dyDescent="0.3">
      <c r="A4" t="s">
        <v>331</v>
      </c>
      <c r="B4" s="12">
        <f>SUMIF(Sales_Data!F:F, A4, Sales_Data!G:G)</f>
        <v>0</v>
      </c>
    </row>
    <row r="5" spans="1:2" x14ac:dyDescent="0.3">
      <c r="A5" t="s">
        <v>332</v>
      </c>
      <c r="B5" s="12">
        <f>SUMIF(Sales_Data!F:F, A5, Sales_Data!G:G)</f>
        <v>0</v>
      </c>
    </row>
    <row r="6" spans="1:2" x14ac:dyDescent="0.3">
      <c r="A6" t="s">
        <v>23</v>
      </c>
      <c r="B6" s="12">
        <f>SUMIF(Sales_Data!F:F, A6, Sales_Data!G:G)</f>
        <v>1475000</v>
      </c>
    </row>
    <row r="7" spans="1:2" x14ac:dyDescent="0.3">
      <c r="A7" t="s">
        <v>333</v>
      </c>
      <c r="B7" s="12">
        <f>SUMIF(Sales_Data!F:F, A7, Sales_Data!G:G)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DB0EE-21D5-4D42-8A75-7194B59836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Sales_Data</vt:lpstr>
      <vt:lpstr>Incentive_Master</vt:lpstr>
      <vt:lpstr>Department-wise_Sales</vt:lpstr>
      <vt:lpstr>Region_wise_Sales</vt:lpstr>
      <vt:lpstr>Gender_wise_Sales</vt:lpstr>
      <vt:lpstr>Month_wise_Sales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nagaraj g</cp:lastModifiedBy>
  <dcterms:created xsi:type="dcterms:W3CDTF">2025-12-18T06:51:38Z</dcterms:created>
  <dcterms:modified xsi:type="dcterms:W3CDTF">2025-12-18T14:25:40Z</dcterms:modified>
</cp:coreProperties>
</file>